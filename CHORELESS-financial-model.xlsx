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<sst xmlns="http://schemas.openxmlformats.org/spreadsheetml/2006/main" count="82" uniqueCount="79">
  <si>
    <t xml:space="preserve">CHORELESS — Financial Model Assumptions</t>
  </si>
  <si>
    <t xml:space="preserve">Blue cells are inputs — edit them and the model recalculates. All figures are user-provided planning estimates, not market data.</t>
  </si>
  <si>
    <t xml:space="preserve">SUBSCRIBERS</t>
  </si>
  <si>
    <t xml:space="preserve">Starting subscribers (month 1)</t>
  </si>
  <si>
    <t xml:space="preserve">Launch cohort</t>
  </si>
  <si>
    <t xml:space="preserve">Monthly new-subscriber growth rate</t>
  </si>
  <si>
    <t xml:space="preserve">New subs each month as % of prior base</t>
  </si>
  <si>
    <t xml:space="preserve">Monthly churn rate</t>
  </si>
  <si>
    <t xml:space="preserve">Subscribers lost each month</t>
  </si>
  <si>
    <t xml:space="preserve">CAC per new subscriber ($)</t>
  </si>
  <si>
    <t xml:space="preserve">Blended paid + referral</t>
  </si>
  <si>
    <t xml:space="preserve">TIER MIX &amp; PRICING</t>
  </si>
  <si>
    <t xml:space="preserve">Starter share of base</t>
  </si>
  <si>
    <t xml:space="preserve">Tier mix assumed constant</t>
  </si>
  <si>
    <t xml:space="preserve">Pro share of base</t>
  </si>
  <si>
    <t xml:space="preserve">Business share of base</t>
  </si>
  <si>
    <t xml:space="preserve">Starter price ($/mo)</t>
  </si>
  <si>
    <t xml:space="preserve">Matches published pricing</t>
  </si>
  <si>
    <t xml:space="preserve">Pro price ($/mo)</t>
  </si>
  <si>
    <t xml:space="preserve">Business price ($/mo)</t>
  </si>
  <si>
    <t xml:space="preserve">Starter credits / month</t>
  </si>
  <si>
    <t xml:space="preserve">Pro credits / month</t>
  </si>
  <si>
    <t xml:space="preserve">Business credits / month</t>
  </si>
  <si>
    <t xml:space="preserve">Credit utilization</t>
  </si>
  <si>
    <t xml:space="preserve">Share of granted credits actually consumed</t>
  </si>
  <si>
    <t xml:space="preserve">Fulfillment cost per credit used ($)</t>
  </si>
  <si>
    <t xml:space="preserve">Model + tool + QA compute per delivered credit</t>
  </si>
  <si>
    <t xml:space="preserve">CHORELESS ADS (premium)</t>
  </si>
  <si>
    <t xml:space="preserve">Ads attach rate (% of subscribers)</t>
  </si>
  <si>
    <t xml:space="preserve">Subscribers who also buy a managed-ads plan</t>
  </si>
  <si>
    <t xml:space="preserve">Average Ads plan ($/mo)</t>
  </si>
  <si>
    <t xml:space="preserve">Blend of $499 / $1,249 / $2,999 tiers</t>
  </si>
  <si>
    <t xml:space="preserve">Ads fulfillment cost (% of ads revenue)</t>
  </si>
  <si>
    <t xml:space="preserve">Includes human strategist review</t>
  </si>
  <si>
    <t xml:space="preserve">FIXED &amp; VARIABLE OPEX</t>
  </si>
  <si>
    <t xml:space="preserve">Base opex ($/mo)</t>
  </si>
  <si>
    <t xml:space="preserve">Payroll, infra, tools</t>
  </si>
  <si>
    <t xml:space="preserve">Variable ops per subscriber ($/mo)</t>
  </si>
  <si>
    <t xml:space="preserve">Support + exception-queue staffing</t>
  </si>
  <si>
    <t xml:space="preserve">CHORELESS — 24-Month Operating Model</t>
  </si>
  <si>
    <t xml:space="preserve">All cells below are formulas driven by the Assumptions tab.</t>
  </si>
  <si>
    <t xml:space="preserve">Month</t>
  </si>
  <si>
    <t xml:space="preserve">Total subscribers</t>
  </si>
  <si>
    <t xml:space="preserve">New subscribers</t>
  </si>
  <si>
    <t xml:space="preserve">Starter subscribers</t>
  </si>
  <si>
    <t xml:space="preserve">Pro subscribers</t>
  </si>
  <si>
    <t xml:space="preserve">Business subscribers</t>
  </si>
  <si>
    <t xml:space="preserve">Starter revenue</t>
  </si>
  <si>
    <t xml:space="preserve">Pro revenue</t>
  </si>
  <si>
    <t xml:space="preserve">Business revenue</t>
  </si>
  <si>
    <t xml:space="preserve">Subscription MRR</t>
  </si>
  <si>
    <t xml:space="preserve">Ads customers</t>
  </si>
  <si>
    <t xml:space="preserve">Ads revenue</t>
  </si>
  <si>
    <t xml:space="preserve">TOTAL REVENUE</t>
  </si>
  <si>
    <t xml:space="preserve">Credits used</t>
  </si>
  <si>
    <t xml:space="preserve">Subscription fulfillment cost</t>
  </si>
  <si>
    <t xml:space="preserve">Ads fulfillment cost</t>
  </si>
  <si>
    <t xml:space="preserve">Marketing (CAC x new subs)</t>
  </si>
  <si>
    <t xml:space="preserve">Opex (base + variable)</t>
  </si>
  <si>
    <t xml:space="preserve">TOTAL COSTS</t>
  </si>
  <si>
    <t xml:space="preserve">EBITDA</t>
  </si>
  <si>
    <t xml:space="preserve">Cumulative EBITDA</t>
  </si>
  <si>
    <t xml:space="preserve">Gross margin %</t>
  </si>
  <si>
    <t xml:space="preserve">CHORELESS — Summary</t>
  </si>
  <si>
    <t xml:space="preserve">Month 12</t>
  </si>
  <si>
    <t xml:space="preserve">Month 24</t>
  </si>
  <si>
    <t xml:space="preserve">Subscribers</t>
  </si>
  <si>
    <t xml:space="preserve">Ads revenue / month</t>
  </si>
  <si>
    <t xml:space="preserve">Total revenue / month</t>
  </si>
  <si>
    <t xml:space="preserve">Annual run-rate (ARR)</t>
  </si>
  <si>
    <t xml:space="preserve">EBITDA / month</t>
  </si>
  <si>
    <t xml:space="preserve">Break-even month (first month EBITDA &gt; 0)</t>
  </si>
  <si>
    <t xml:space="preserve">If 25, not reached within 24 months</t>
  </si>
  <si>
    <t xml:space="preserve">Unit economics</t>
  </si>
  <si>
    <t xml:space="preserve">Blended ARPU ($/mo)</t>
  </si>
  <si>
    <t xml:space="preserve">Avg customer lifetime (months, 1/churn)</t>
  </si>
  <si>
    <t xml:space="preserve">LTV (ARPU x lifetime x gross margin M12)</t>
  </si>
  <si>
    <t xml:space="preserve">LTV : CAC</t>
  </si>
  <si>
    <t xml:space="preserve">Legend: blue = editable input (Assumptions tab) · black = formula · green = pulls from another sheet.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</si>
</sst>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"/>
    <numFmt numFmtId="167" formatCode="\$#,##0;&quot;($&quot;#,##0\);\-"/>
    <numFmt numFmtId="168" formatCode="\$#,##0.00"/>
    <numFmt numFmtId="169" formatCode="0"/>
    <numFmt numFmtId="170" formatCode="0.0"/>
    <numFmt numFmtId="171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1414"/>
        <bgColor rgb="FF000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200</v>
      </c>
      <c r="C5" s="8" t="s">
        <v>4</v>
      </c>
    </row>
    <row r="6" customFormat="false" ht="15" hidden="false" customHeight="true" outlineLevel="0" collapsed="false">
      <c r="A6" s="6" t="s">
        <v>5</v>
      </c>
      <c r="B6" s="9" t="n">
        <v>0.15</v>
      </c>
      <c r="C6" s="8" t="s">
        <v>6</v>
      </c>
    </row>
    <row r="7" customFormat="false" ht="15" hidden="false" customHeight="true" outlineLevel="0" collapsed="false">
      <c r="A7" s="6" t="s">
        <v>7</v>
      </c>
      <c r="B7" s="9" t="n">
        <v>0.05</v>
      </c>
      <c r="C7" s="8" t="s">
        <v>8</v>
      </c>
    </row>
    <row r="8" customFormat="false" ht="15" hidden="false" customHeight="true" outlineLevel="0" collapsed="false">
      <c r="A8" s="6" t="s">
        <v>9</v>
      </c>
      <c r="B8" s="10" t="n">
        <v>80</v>
      </c>
      <c r="C8" s="8" t="s">
        <v>10</v>
      </c>
    </row>
    <row r="9" customFormat="false" ht="15" hidden="false" customHeight="true" outlineLevel="0" collapsed="false">
      <c r="A9" s="4" t="s">
        <v>11</v>
      </c>
      <c r="B9" s="5"/>
      <c r="C9" s="5"/>
    </row>
    <row r="10" customFormat="false" ht="15" hidden="false" customHeight="true" outlineLevel="0" collapsed="false">
      <c r="A10" s="6" t="s">
        <v>12</v>
      </c>
      <c r="B10" s="9" t="n">
        <v>0.5</v>
      </c>
      <c r="C10" s="8" t="s">
        <v>13</v>
      </c>
    </row>
    <row r="11" customFormat="false" ht="15" hidden="false" customHeight="true" outlineLevel="0" collapsed="false">
      <c r="A11" s="6" t="s">
        <v>14</v>
      </c>
      <c r="B11" s="9" t="n">
        <v>0.35</v>
      </c>
      <c r="C11" s="8"/>
    </row>
    <row r="12" customFormat="false" ht="15" hidden="false" customHeight="true" outlineLevel="0" collapsed="false">
      <c r="A12" s="6" t="s">
        <v>15</v>
      </c>
      <c r="B12" s="9" t="n">
        <v>0.15</v>
      </c>
      <c r="C12" s="8"/>
    </row>
    <row r="13" customFormat="false" ht="15" hidden="false" customHeight="true" outlineLevel="0" collapsed="false">
      <c r="A13" s="6" t="s">
        <v>16</v>
      </c>
      <c r="B13" s="10" t="n">
        <v>29</v>
      </c>
      <c r="C13" s="8" t="s">
        <v>17</v>
      </c>
    </row>
    <row r="14" customFormat="false" ht="15" hidden="false" customHeight="true" outlineLevel="0" collapsed="false">
      <c r="A14" s="6" t="s">
        <v>18</v>
      </c>
      <c r="B14" s="10" t="n">
        <v>79</v>
      </c>
      <c r="C14" s="8"/>
    </row>
    <row r="15" customFormat="false" ht="15" hidden="false" customHeight="true" outlineLevel="0" collapsed="false">
      <c r="A15" s="6" t="s">
        <v>19</v>
      </c>
      <c r="B15" s="10" t="n">
        <v>199</v>
      </c>
      <c r="C15" s="8"/>
    </row>
    <row r="16" customFormat="false" ht="15" hidden="false" customHeight="true" outlineLevel="0" collapsed="false">
      <c r="A16" s="6" t="s">
        <v>20</v>
      </c>
      <c r="B16" s="7" t="n">
        <v>10</v>
      </c>
      <c r="C16" s="8"/>
    </row>
    <row r="17" customFormat="false" ht="15" hidden="false" customHeight="true" outlineLevel="0" collapsed="false">
      <c r="A17" s="6" t="s">
        <v>21</v>
      </c>
      <c r="B17" s="7" t="n">
        <v>30</v>
      </c>
      <c r="C17" s="8"/>
    </row>
    <row r="18" customFormat="false" ht="15" hidden="false" customHeight="true" outlineLevel="0" collapsed="false">
      <c r="A18" s="6" t="s">
        <v>22</v>
      </c>
      <c r="B18" s="7" t="n">
        <v>100</v>
      </c>
      <c r="C18" s="8"/>
    </row>
    <row r="19" customFormat="false" ht="15" hidden="false" customHeight="true" outlineLevel="0" collapsed="false">
      <c r="A19" s="6" t="s">
        <v>23</v>
      </c>
      <c r="B19" s="9" t="n">
        <v>0.7</v>
      </c>
      <c r="C19" s="8" t="s">
        <v>24</v>
      </c>
    </row>
    <row r="20" customFormat="false" ht="15" hidden="false" customHeight="true" outlineLevel="0" collapsed="false">
      <c r="A20" s="6" t="s">
        <v>25</v>
      </c>
      <c r="B20" s="11" t="n">
        <v>0.55</v>
      </c>
      <c r="C20" s="8" t="s">
        <v>26</v>
      </c>
    </row>
    <row r="21" customFormat="false" ht="15" hidden="false" customHeight="true" outlineLevel="0" collapsed="false">
      <c r="A21" s="4" t="s">
        <v>27</v>
      </c>
      <c r="B21" s="5"/>
      <c r="C21" s="5"/>
    </row>
    <row r="22" customFormat="false" ht="15" hidden="false" customHeight="true" outlineLevel="0" collapsed="false">
      <c r="A22" s="6" t="s">
        <v>28</v>
      </c>
      <c r="B22" s="9" t="n">
        <v>0.03</v>
      </c>
      <c r="C22" s="8" t="s">
        <v>29</v>
      </c>
    </row>
    <row r="23" customFormat="false" ht="15" hidden="false" customHeight="true" outlineLevel="0" collapsed="false">
      <c r="A23" s="6" t="s">
        <v>30</v>
      </c>
      <c r="B23" s="10" t="n">
        <v>1100</v>
      </c>
      <c r="C23" s="8" t="s">
        <v>31</v>
      </c>
    </row>
    <row r="24" customFormat="false" ht="15" hidden="false" customHeight="true" outlineLevel="0" collapsed="false">
      <c r="A24" s="6" t="s">
        <v>32</v>
      </c>
      <c r="B24" s="9" t="n">
        <v>0.35</v>
      </c>
      <c r="C24" s="8" t="s">
        <v>33</v>
      </c>
    </row>
    <row r="25" customFormat="false" ht="15" hidden="false" customHeight="true" outlineLevel="0" collapsed="false">
      <c r="A25" s="4" t="s">
        <v>34</v>
      </c>
      <c r="B25" s="5"/>
      <c r="C25" s="5"/>
    </row>
    <row r="26" customFormat="false" ht="15" hidden="false" customHeight="true" outlineLevel="0" collapsed="false">
      <c r="A26" s="6" t="s">
        <v>35</v>
      </c>
      <c r="B26" s="10" t="n">
        <v>40000</v>
      </c>
      <c r="C26" s="8" t="s">
        <v>36</v>
      </c>
    </row>
    <row r="27" customFormat="false" ht="15" hidden="false" customHeight="true" outlineLevel="0" collapsed="false">
      <c r="A27" s="6" t="s">
        <v>37</v>
      </c>
      <c r="B27" s="10" t="n">
        <v>6</v>
      </c>
      <c r="C27" s="8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5" min="2" style="1" width="11"/>
  </cols>
  <sheetData>
    <row r="1" customFormat="false" ht="17.25" hidden="false" customHeight="true" outlineLevel="0" collapsed="false">
      <c r="A1" s="2" t="s">
        <v>39</v>
      </c>
    </row>
    <row r="2" customFormat="false" ht="15" hidden="false" customHeight="true" outlineLevel="0" collapsed="false">
      <c r="A2" s="3" t="s">
        <v>40</v>
      </c>
    </row>
    <row r="3" customFormat="false" ht="15" hidden="false" customHeight="true" outlineLevel="0" collapsed="false">
      <c r="A3" s="12" t="s">
        <v>41</v>
      </c>
      <c r="B3" s="13" t="n">
        <v>1</v>
      </c>
      <c r="C3" s="13" t="n">
        <v>2</v>
      </c>
      <c r="D3" s="13" t="n">
        <v>3</v>
      </c>
      <c r="E3" s="13" t="n">
        <v>4</v>
      </c>
      <c r="F3" s="13" t="n">
        <v>5</v>
      </c>
      <c r="G3" s="13" t="n">
        <v>6</v>
      </c>
      <c r="H3" s="13" t="n">
        <v>7</v>
      </c>
      <c r="I3" s="13" t="n">
        <v>8</v>
      </c>
      <c r="J3" s="13" t="n">
        <v>9</v>
      </c>
      <c r="K3" s="13" t="n">
        <v>10</v>
      </c>
      <c r="L3" s="13" t="n">
        <v>11</v>
      </c>
      <c r="M3" s="13" t="n">
        <v>12</v>
      </c>
      <c r="N3" s="13" t="n">
        <v>13</v>
      </c>
      <c r="O3" s="13" t="n">
        <v>14</v>
      </c>
      <c r="P3" s="13" t="n">
        <v>15</v>
      </c>
      <c r="Q3" s="13" t="n">
        <v>16</v>
      </c>
      <c r="R3" s="13" t="n">
        <v>17</v>
      </c>
      <c r="S3" s="13" t="n">
        <v>18</v>
      </c>
      <c r="T3" s="13" t="n">
        <v>19</v>
      </c>
      <c r="U3" s="13" t="n">
        <v>20</v>
      </c>
      <c r="V3" s="13" t="n">
        <v>21</v>
      </c>
      <c r="W3" s="13" t="n">
        <v>22</v>
      </c>
      <c r="X3" s="13" t="n">
        <v>23</v>
      </c>
      <c r="Y3" s="13" t="n">
        <v>24</v>
      </c>
    </row>
    <row r="4" customFormat="false" ht="15" hidden="false" customHeight="true" outlineLevel="0" collapsed="false">
      <c r="A4" s="6" t="s">
        <v>42</v>
      </c>
      <c r="B4" s="14" t="n">
        <f aca="false">Assumptions!$B$5</f>
        <v>200</v>
      </c>
      <c r="C4" s="14" t="n">
        <f aca="false">B4*(1+Assumptions!$B$6-Assumptions!$B$7)</f>
        <v>220</v>
      </c>
      <c r="D4" s="14" t="n">
        <f aca="false">C4*(1+Assumptions!$B$6-Assumptions!$B$7)</f>
        <v>242</v>
      </c>
      <c r="E4" s="14" t="n">
        <f aca="false">D4*(1+Assumptions!$B$6-Assumptions!$B$7)</f>
        <v>266.2</v>
      </c>
      <c r="F4" s="14" t="n">
        <f aca="false">E4*(1+Assumptions!$B$6-Assumptions!$B$7)</f>
        <v>292.82</v>
      </c>
      <c r="G4" s="14" t="n">
        <f aca="false">F4*(1+Assumptions!$B$6-Assumptions!$B$7)</f>
        <v>322.102</v>
      </c>
      <c r="H4" s="14" t="n">
        <f aca="false">G4*(1+Assumptions!$B$6-Assumptions!$B$7)</f>
        <v>354.3122</v>
      </c>
      <c r="I4" s="14" t="n">
        <f aca="false">H4*(1+Assumptions!$B$6-Assumptions!$B$7)</f>
        <v>389.74342</v>
      </c>
      <c r="J4" s="14" t="n">
        <f aca="false">I4*(1+Assumptions!$B$6-Assumptions!$B$7)</f>
        <v>428.717762</v>
      </c>
      <c r="K4" s="14" t="n">
        <f aca="false">J4*(1+Assumptions!$B$6-Assumptions!$B$7)</f>
        <v>471.5895382</v>
      </c>
      <c r="L4" s="14" t="n">
        <f aca="false">K4*(1+Assumptions!$B$6-Assumptions!$B$7)</f>
        <v>518.748492019999</v>
      </c>
      <c r="M4" s="14" t="n">
        <f aca="false">L4*(1+Assumptions!$B$6-Assumptions!$B$7)</f>
        <v>570.623341221999</v>
      </c>
      <c r="N4" s="14" t="n">
        <f aca="false">M4*(1+Assumptions!$B$6-Assumptions!$B$7)</f>
        <v>627.685675344199</v>
      </c>
      <c r="O4" s="14" t="n">
        <f aca="false">N4*(1+Assumptions!$B$6-Assumptions!$B$7)</f>
        <v>690.454242878619</v>
      </c>
      <c r="P4" s="14" t="n">
        <f aca="false">O4*(1+Assumptions!$B$6-Assumptions!$B$7)</f>
        <v>759.499667166481</v>
      </c>
      <c r="Q4" s="14" t="n">
        <f aca="false">P4*(1+Assumptions!$B$6-Assumptions!$B$7)</f>
        <v>835.449633883129</v>
      </c>
      <c r="R4" s="14" t="n">
        <f aca="false">Q4*(1+Assumptions!$B$6-Assumptions!$B$7)</f>
        <v>918.994597271442</v>
      </c>
      <c r="S4" s="14" t="n">
        <f aca="false">R4*(1+Assumptions!$B$6-Assumptions!$B$7)</f>
        <v>1010.89405699859</v>
      </c>
      <c r="T4" s="14" t="n">
        <f aca="false">S4*(1+Assumptions!$B$6-Assumptions!$B$7)</f>
        <v>1111.98346269844</v>
      </c>
      <c r="U4" s="14" t="n">
        <f aca="false">T4*(1+Assumptions!$B$6-Assumptions!$B$7)</f>
        <v>1223.18180896829</v>
      </c>
      <c r="V4" s="14" t="n">
        <f aca="false">U4*(1+Assumptions!$B$6-Assumptions!$B$7)</f>
        <v>1345.49998986512</v>
      </c>
      <c r="W4" s="14" t="n">
        <f aca="false">V4*(1+Assumptions!$B$6-Assumptions!$B$7)</f>
        <v>1480.04998885163</v>
      </c>
      <c r="X4" s="14" t="n">
        <f aca="false">W4*(1+Assumptions!$B$6-Assumptions!$B$7)</f>
        <v>1628.05498773679</v>
      </c>
      <c r="Y4" s="14" t="n">
        <f aca="false">X4*(1+Assumptions!$B$6-Assumptions!$B$7)</f>
        <v>1790.86048651047</v>
      </c>
    </row>
    <row r="5" customFormat="false" ht="15" hidden="false" customHeight="true" outlineLevel="0" collapsed="false">
      <c r="A5" s="6" t="s">
        <v>43</v>
      </c>
      <c r="B5" s="14" t="n">
        <f aca="false">B4</f>
        <v>200</v>
      </c>
      <c r="C5" s="14" t="n">
        <f aca="false">B4*Assumptions!$B$6</f>
        <v>30</v>
      </c>
      <c r="D5" s="14" t="n">
        <f aca="false">C4*Assumptions!$B$6</f>
        <v>33</v>
      </c>
      <c r="E5" s="14" t="n">
        <f aca="false">D4*Assumptions!$B$6</f>
        <v>36.3</v>
      </c>
      <c r="F5" s="14" t="n">
        <f aca="false">E4*Assumptions!$B$6</f>
        <v>39.93</v>
      </c>
      <c r="G5" s="14" t="n">
        <f aca="false">F4*Assumptions!$B$6</f>
        <v>43.923</v>
      </c>
      <c r="H5" s="14" t="n">
        <f aca="false">G4*Assumptions!$B$6</f>
        <v>48.3153</v>
      </c>
      <c r="I5" s="14" t="n">
        <f aca="false">H4*Assumptions!$B$6</f>
        <v>53.14683</v>
      </c>
      <c r="J5" s="14" t="n">
        <f aca="false">I4*Assumptions!$B$6</f>
        <v>58.461513</v>
      </c>
      <c r="K5" s="14" t="n">
        <f aca="false">J4*Assumptions!$B$6</f>
        <v>64.3076642999999</v>
      </c>
      <c r="L5" s="14" t="n">
        <f aca="false">K4*Assumptions!$B$6</f>
        <v>70.7384307299999</v>
      </c>
      <c r="M5" s="14" t="n">
        <f aca="false">L4*Assumptions!$B$6</f>
        <v>77.8122738029999</v>
      </c>
      <c r="N5" s="14" t="n">
        <f aca="false">M4*Assumptions!$B$6</f>
        <v>85.5935011832999</v>
      </c>
      <c r="O5" s="14" t="n">
        <f aca="false">N4*Assumptions!$B$6</f>
        <v>94.1528513016299</v>
      </c>
      <c r="P5" s="14" t="n">
        <f aca="false">O4*Assumptions!$B$6</f>
        <v>103.568136431793</v>
      </c>
      <c r="Q5" s="14" t="n">
        <f aca="false">P4*Assumptions!$B$6</f>
        <v>113.924950074972</v>
      </c>
      <c r="R5" s="14" t="n">
        <f aca="false">Q4*Assumptions!$B$6</f>
        <v>125.317445082469</v>
      </c>
      <c r="S5" s="14" t="n">
        <f aca="false">R4*Assumptions!$B$6</f>
        <v>137.849189590716</v>
      </c>
      <c r="T5" s="14" t="n">
        <f aca="false">S4*Assumptions!$B$6</f>
        <v>151.634108549788</v>
      </c>
      <c r="U5" s="14" t="n">
        <f aca="false">T4*Assumptions!$B$6</f>
        <v>166.797519404767</v>
      </c>
      <c r="V5" s="14" t="n">
        <f aca="false">U4*Assumptions!$B$6</f>
        <v>183.477271345243</v>
      </c>
      <c r="W5" s="14" t="n">
        <f aca="false">V4*Assumptions!$B$6</f>
        <v>201.824998479768</v>
      </c>
      <c r="X5" s="14" t="n">
        <f aca="false">W4*Assumptions!$B$6</f>
        <v>222.007498327744</v>
      </c>
      <c r="Y5" s="14" t="n">
        <f aca="false">X4*Assumptions!$B$6</f>
        <v>244.208248160519</v>
      </c>
    </row>
    <row r="6" customFormat="false" ht="15" hidden="false" customHeight="true" outlineLevel="0" collapsed="false">
      <c r="A6" s="6" t="s">
        <v>44</v>
      </c>
      <c r="B6" s="14" t="n">
        <f aca="false">B4*Assumptions!$B$10</f>
        <v>100</v>
      </c>
      <c r="C6" s="14" t="n">
        <f aca="false">C4*Assumptions!$B$10</f>
        <v>110</v>
      </c>
      <c r="D6" s="14" t="n">
        <f aca="false">D4*Assumptions!$B$10</f>
        <v>121</v>
      </c>
      <c r="E6" s="14" t="n">
        <f aca="false">E4*Assumptions!$B$10</f>
        <v>133.1</v>
      </c>
      <c r="F6" s="14" t="n">
        <f aca="false">F4*Assumptions!$B$10</f>
        <v>146.41</v>
      </c>
      <c r="G6" s="14" t="n">
        <f aca="false">G4*Assumptions!$B$10</f>
        <v>161.051</v>
      </c>
      <c r="H6" s="14" t="n">
        <f aca="false">H4*Assumptions!$B$10</f>
        <v>177.1561</v>
      </c>
      <c r="I6" s="14" t="n">
        <f aca="false">I4*Assumptions!$B$10</f>
        <v>194.87171</v>
      </c>
      <c r="J6" s="14" t="n">
        <f aca="false">J4*Assumptions!$B$10</f>
        <v>214.358881</v>
      </c>
      <c r="K6" s="14" t="n">
        <f aca="false">K4*Assumptions!$B$10</f>
        <v>235.7947691</v>
      </c>
      <c r="L6" s="14" t="n">
        <f aca="false">L4*Assumptions!$B$10</f>
        <v>259.37424601</v>
      </c>
      <c r="M6" s="14" t="n">
        <f aca="false">M4*Assumptions!$B$10</f>
        <v>285.311670611</v>
      </c>
      <c r="N6" s="14" t="n">
        <f aca="false">N4*Assumptions!$B$10</f>
        <v>313.8428376721</v>
      </c>
      <c r="O6" s="14" t="n">
        <f aca="false">O4*Assumptions!$B$10</f>
        <v>345.22712143931</v>
      </c>
      <c r="P6" s="14" t="n">
        <f aca="false">P4*Assumptions!$B$10</f>
        <v>379.74983358324</v>
      </c>
      <c r="Q6" s="14" t="n">
        <f aca="false">Q4*Assumptions!$B$10</f>
        <v>417.724816941564</v>
      </c>
      <c r="R6" s="14" t="n">
        <f aca="false">R4*Assumptions!$B$10</f>
        <v>459.497298635721</v>
      </c>
      <c r="S6" s="14" t="n">
        <f aca="false">S4*Assumptions!$B$10</f>
        <v>505.447028499293</v>
      </c>
      <c r="T6" s="14" t="n">
        <f aca="false">T4*Assumptions!$B$10</f>
        <v>555.991731349222</v>
      </c>
      <c r="U6" s="14" t="n">
        <f aca="false">U4*Assumptions!$B$10</f>
        <v>611.590904484144</v>
      </c>
      <c r="V6" s="14" t="n">
        <f aca="false">V4*Assumptions!$B$10</f>
        <v>672.749994932559</v>
      </c>
      <c r="W6" s="14" t="n">
        <f aca="false">W4*Assumptions!$B$10</f>
        <v>740.024994425814</v>
      </c>
      <c r="X6" s="14" t="n">
        <f aca="false">X4*Assumptions!$B$10</f>
        <v>814.027493868396</v>
      </c>
      <c r="Y6" s="14" t="n">
        <f aca="false">Y4*Assumptions!$B$10</f>
        <v>895.430243255235</v>
      </c>
    </row>
    <row r="7" customFormat="false" ht="15" hidden="false" customHeight="true" outlineLevel="0" collapsed="false">
      <c r="A7" s="6" t="s">
        <v>45</v>
      </c>
      <c r="B7" s="14" t="n">
        <f aca="false">B4*Assumptions!$B$11</f>
        <v>70</v>
      </c>
      <c r="C7" s="14" t="n">
        <f aca="false">C4*Assumptions!$B$11</f>
        <v>77</v>
      </c>
      <c r="D7" s="14" t="n">
        <f aca="false">D4*Assumptions!$B$11</f>
        <v>84.7</v>
      </c>
      <c r="E7" s="14" t="n">
        <f aca="false">E4*Assumptions!$B$11</f>
        <v>93.17</v>
      </c>
      <c r="F7" s="14" t="n">
        <f aca="false">F4*Assumptions!$B$11</f>
        <v>102.487</v>
      </c>
      <c r="G7" s="14" t="n">
        <f aca="false">G4*Assumptions!$B$11</f>
        <v>112.7357</v>
      </c>
      <c r="H7" s="14" t="n">
        <f aca="false">H4*Assumptions!$B$11</f>
        <v>124.00927</v>
      </c>
      <c r="I7" s="14" t="n">
        <f aca="false">I4*Assumptions!$B$11</f>
        <v>136.410197</v>
      </c>
      <c r="J7" s="14" t="n">
        <f aca="false">J4*Assumptions!$B$11</f>
        <v>150.0512167</v>
      </c>
      <c r="K7" s="14" t="n">
        <f aca="false">K4*Assumptions!$B$11</f>
        <v>165.05633837</v>
      </c>
      <c r="L7" s="14" t="n">
        <f aca="false">L4*Assumptions!$B$11</f>
        <v>181.561972207</v>
      </c>
      <c r="M7" s="14" t="n">
        <f aca="false">M4*Assumptions!$B$11</f>
        <v>199.7181694277</v>
      </c>
      <c r="N7" s="14" t="n">
        <f aca="false">N4*Assumptions!$B$11</f>
        <v>219.68998637047</v>
      </c>
      <c r="O7" s="14" t="n">
        <f aca="false">O4*Assumptions!$B$11</f>
        <v>241.658985007517</v>
      </c>
      <c r="P7" s="14" t="n">
        <f aca="false">P4*Assumptions!$B$11</f>
        <v>265.824883508268</v>
      </c>
      <c r="Q7" s="14" t="n">
        <f aca="false">Q4*Assumptions!$B$11</f>
        <v>292.407371859095</v>
      </c>
      <c r="R7" s="14" t="n">
        <f aca="false">R4*Assumptions!$B$11</f>
        <v>321.648109045005</v>
      </c>
      <c r="S7" s="14" t="n">
        <f aca="false">S4*Assumptions!$B$11</f>
        <v>353.812919949505</v>
      </c>
      <c r="T7" s="14" t="n">
        <f aca="false">T4*Assumptions!$B$11</f>
        <v>389.194211944455</v>
      </c>
      <c r="U7" s="14" t="n">
        <f aca="false">U4*Assumptions!$B$11</f>
        <v>428.113633138901</v>
      </c>
      <c r="V7" s="14" t="n">
        <f aca="false">V4*Assumptions!$B$11</f>
        <v>470.924996452791</v>
      </c>
      <c r="W7" s="14" t="n">
        <f aca="false">W4*Assumptions!$B$11</f>
        <v>518.01749609807</v>
      </c>
      <c r="X7" s="14" t="n">
        <f aca="false">X4*Assumptions!$B$11</f>
        <v>569.819245707877</v>
      </c>
      <c r="Y7" s="14" t="n">
        <f aca="false">Y4*Assumptions!$B$11</f>
        <v>626.801170278665</v>
      </c>
    </row>
    <row r="8" customFormat="false" ht="15" hidden="false" customHeight="true" outlineLevel="0" collapsed="false">
      <c r="A8" s="6" t="s">
        <v>46</v>
      </c>
      <c r="B8" s="14" t="n">
        <f aca="false">B4*Assumptions!$B$12</f>
        <v>30</v>
      </c>
      <c r="C8" s="14" t="n">
        <f aca="false">C4*Assumptions!$B$12</f>
        <v>33</v>
      </c>
      <c r="D8" s="14" t="n">
        <f aca="false">D4*Assumptions!$B$12</f>
        <v>36.3</v>
      </c>
      <c r="E8" s="14" t="n">
        <f aca="false">E4*Assumptions!$B$12</f>
        <v>39.93</v>
      </c>
      <c r="F8" s="14" t="n">
        <f aca="false">F4*Assumptions!$B$12</f>
        <v>43.923</v>
      </c>
      <c r="G8" s="14" t="n">
        <f aca="false">G4*Assumptions!$B$12</f>
        <v>48.3153</v>
      </c>
      <c r="H8" s="14" t="n">
        <f aca="false">H4*Assumptions!$B$12</f>
        <v>53.14683</v>
      </c>
      <c r="I8" s="14" t="n">
        <f aca="false">I4*Assumptions!$B$12</f>
        <v>58.461513</v>
      </c>
      <c r="J8" s="14" t="n">
        <f aca="false">J4*Assumptions!$B$12</f>
        <v>64.3076642999999</v>
      </c>
      <c r="K8" s="14" t="n">
        <f aca="false">K4*Assumptions!$B$12</f>
        <v>70.7384307299999</v>
      </c>
      <c r="L8" s="14" t="n">
        <f aca="false">L4*Assumptions!$B$12</f>
        <v>77.8122738029999</v>
      </c>
      <c r="M8" s="14" t="n">
        <f aca="false">M4*Assumptions!$B$12</f>
        <v>85.5935011832999</v>
      </c>
      <c r="N8" s="14" t="n">
        <f aca="false">N4*Assumptions!$B$12</f>
        <v>94.1528513016299</v>
      </c>
      <c r="O8" s="14" t="n">
        <f aca="false">O4*Assumptions!$B$12</f>
        <v>103.568136431793</v>
      </c>
      <c r="P8" s="14" t="n">
        <f aca="false">P4*Assumptions!$B$12</f>
        <v>113.924950074972</v>
      </c>
      <c r="Q8" s="14" t="n">
        <f aca="false">Q4*Assumptions!$B$12</f>
        <v>125.317445082469</v>
      </c>
      <c r="R8" s="14" t="n">
        <f aca="false">R4*Assumptions!$B$12</f>
        <v>137.849189590716</v>
      </c>
      <c r="S8" s="14" t="n">
        <f aca="false">S4*Assumptions!$B$12</f>
        <v>151.634108549788</v>
      </c>
      <c r="T8" s="14" t="n">
        <f aca="false">T4*Assumptions!$B$12</f>
        <v>166.797519404767</v>
      </c>
      <c r="U8" s="14" t="n">
        <f aca="false">U4*Assumptions!$B$12</f>
        <v>183.477271345243</v>
      </c>
      <c r="V8" s="14" t="n">
        <f aca="false">V4*Assumptions!$B$12</f>
        <v>201.824998479768</v>
      </c>
      <c r="W8" s="14" t="n">
        <f aca="false">W4*Assumptions!$B$12</f>
        <v>222.007498327744</v>
      </c>
      <c r="X8" s="14" t="n">
        <f aca="false">X4*Assumptions!$B$12</f>
        <v>244.208248160519</v>
      </c>
      <c r="Y8" s="14" t="n">
        <f aca="false">Y4*Assumptions!$B$12</f>
        <v>268.629072976571</v>
      </c>
    </row>
    <row r="10" customFormat="false" ht="15" hidden="false" customHeight="true" outlineLevel="0" collapsed="false">
      <c r="A10" s="6" t="s">
        <v>47</v>
      </c>
      <c r="B10" s="15" t="n">
        <f aca="false">B6*Assumptions!$B$13</f>
        <v>2900</v>
      </c>
      <c r="C10" s="15" t="n">
        <f aca="false">C6*Assumptions!$B$13</f>
        <v>3190</v>
      </c>
      <c r="D10" s="15" t="n">
        <f aca="false">D6*Assumptions!$B$13</f>
        <v>3509</v>
      </c>
      <c r="E10" s="15" t="n">
        <f aca="false">E6*Assumptions!$B$13</f>
        <v>3859.9</v>
      </c>
      <c r="F10" s="15" t="n">
        <f aca="false">F6*Assumptions!$B$13</f>
        <v>4245.89</v>
      </c>
      <c r="G10" s="15" t="n">
        <f aca="false">G6*Assumptions!$B$13</f>
        <v>4670.479</v>
      </c>
      <c r="H10" s="15" t="n">
        <f aca="false">H6*Assumptions!$B$13</f>
        <v>5137.5269</v>
      </c>
      <c r="I10" s="15" t="n">
        <f aca="false">I6*Assumptions!$B$13</f>
        <v>5651.27959</v>
      </c>
      <c r="J10" s="15" t="n">
        <f aca="false">J6*Assumptions!$B$13</f>
        <v>6216.40754899999</v>
      </c>
      <c r="K10" s="15" t="n">
        <f aca="false">K6*Assumptions!$B$13</f>
        <v>6838.04830389999</v>
      </c>
      <c r="L10" s="15" t="n">
        <f aca="false">L6*Assumptions!$B$13</f>
        <v>7521.85313428999</v>
      </c>
      <c r="M10" s="15" t="n">
        <f aca="false">M6*Assumptions!$B$13</f>
        <v>8274.03844771899</v>
      </c>
      <c r="N10" s="15" t="n">
        <f aca="false">N6*Assumptions!$B$13</f>
        <v>9101.44229249089</v>
      </c>
      <c r="O10" s="15" t="n">
        <f aca="false">O6*Assumptions!$B$13</f>
        <v>10011.58652174</v>
      </c>
      <c r="P10" s="15" t="n">
        <f aca="false">P6*Assumptions!$B$13</f>
        <v>11012.745173914</v>
      </c>
      <c r="Q10" s="15" t="n">
        <f aca="false">Q6*Assumptions!$B$13</f>
        <v>12114.0196913054</v>
      </c>
      <c r="R10" s="15" t="n">
        <f aca="false">R6*Assumptions!$B$13</f>
        <v>13325.4216604359</v>
      </c>
      <c r="S10" s="15" t="n">
        <f aca="false">S6*Assumptions!$B$13</f>
        <v>14657.9638264795</v>
      </c>
      <c r="T10" s="15" t="n">
        <f aca="false">T6*Assumptions!$B$13</f>
        <v>16123.7602091274</v>
      </c>
      <c r="U10" s="15" t="n">
        <f aca="false">U6*Assumptions!$B$13</f>
        <v>17736.1362300402</v>
      </c>
      <c r="V10" s="15" t="n">
        <f aca="false">V6*Assumptions!$B$13</f>
        <v>19509.7498530442</v>
      </c>
      <c r="W10" s="15" t="n">
        <f aca="false">W6*Assumptions!$B$13</f>
        <v>21460.7248383486</v>
      </c>
      <c r="X10" s="15" t="n">
        <f aca="false">X6*Assumptions!$B$13</f>
        <v>23606.7973221835</v>
      </c>
      <c r="Y10" s="15" t="n">
        <f aca="false">Y6*Assumptions!$B$13</f>
        <v>25967.4770544018</v>
      </c>
    </row>
    <row r="11" customFormat="false" ht="15" hidden="false" customHeight="true" outlineLevel="0" collapsed="false">
      <c r="A11" s="6" t="s">
        <v>48</v>
      </c>
      <c r="B11" s="15" t="n">
        <f aca="false">B7*Assumptions!$B$14</f>
        <v>5530</v>
      </c>
      <c r="C11" s="15" t="n">
        <f aca="false">C7*Assumptions!$B$14</f>
        <v>6083</v>
      </c>
      <c r="D11" s="15" t="n">
        <f aca="false">D7*Assumptions!$B$14</f>
        <v>6691.3</v>
      </c>
      <c r="E11" s="15" t="n">
        <f aca="false">E7*Assumptions!$B$14</f>
        <v>7360.43</v>
      </c>
      <c r="F11" s="15" t="n">
        <f aca="false">F7*Assumptions!$B$14</f>
        <v>8096.473</v>
      </c>
      <c r="G11" s="15" t="n">
        <f aca="false">G7*Assumptions!$B$14</f>
        <v>8906.12029999999</v>
      </c>
      <c r="H11" s="15" t="n">
        <f aca="false">H7*Assumptions!$B$14</f>
        <v>9796.73232999999</v>
      </c>
      <c r="I11" s="15" t="n">
        <f aca="false">I7*Assumptions!$B$14</f>
        <v>10776.405563</v>
      </c>
      <c r="J11" s="15" t="n">
        <f aca="false">J7*Assumptions!$B$14</f>
        <v>11854.0461193</v>
      </c>
      <c r="K11" s="15" t="n">
        <f aca="false">K7*Assumptions!$B$14</f>
        <v>13039.45073123</v>
      </c>
      <c r="L11" s="15" t="n">
        <f aca="false">L7*Assumptions!$B$14</f>
        <v>14343.395804353</v>
      </c>
      <c r="M11" s="15" t="n">
        <f aca="false">M7*Assumptions!$B$14</f>
        <v>15777.7353847883</v>
      </c>
      <c r="N11" s="15" t="n">
        <f aca="false">N7*Assumptions!$B$14</f>
        <v>17355.5089232671</v>
      </c>
      <c r="O11" s="15" t="n">
        <f aca="false">O7*Assumptions!$B$14</f>
        <v>19091.0598155938</v>
      </c>
      <c r="P11" s="15" t="n">
        <f aca="false">P7*Assumptions!$B$14</f>
        <v>21000.1657971532</v>
      </c>
      <c r="Q11" s="15" t="n">
        <f aca="false">Q7*Assumptions!$B$14</f>
        <v>23100.1823768685</v>
      </c>
      <c r="R11" s="15" t="n">
        <f aca="false">R7*Assumptions!$B$14</f>
        <v>25410.2006145554</v>
      </c>
      <c r="S11" s="15" t="n">
        <f aca="false">S7*Assumptions!$B$14</f>
        <v>27951.2206760109</v>
      </c>
      <c r="T11" s="15" t="n">
        <f aca="false">T7*Assumptions!$B$14</f>
        <v>30746.342743612</v>
      </c>
      <c r="U11" s="15" t="n">
        <f aca="false">U7*Assumptions!$B$14</f>
        <v>33820.9770179732</v>
      </c>
      <c r="V11" s="15" t="n">
        <f aca="false">V7*Assumptions!$B$14</f>
        <v>37203.0747197705</v>
      </c>
      <c r="W11" s="15" t="n">
        <f aca="false">W7*Assumptions!$B$14</f>
        <v>40923.3821917475</v>
      </c>
      <c r="X11" s="15" t="n">
        <f aca="false">X7*Assumptions!$B$14</f>
        <v>45015.7204109223</v>
      </c>
      <c r="Y11" s="15" t="n">
        <f aca="false">Y7*Assumptions!$B$14</f>
        <v>49517.2924520145</v>
      </c>
    </row>
    <row r="12" customFormat="false" ht="15" hidden="false" customHeight="true" outlineLevel="0" collapsed="false">
      <c r="A12" s="6" t="s">
        <v>49</v>
      </c>
      <c r="B12" s="15" t="n">
        <f aca="false">B8*Assumptions!$B$15</f>
        <v>5970</v>
      </c>
      <c r="C12" s="15" t="n">
        <f aca="false">C8*Assumptions!$B$15</f>
        <v>6567</v>
      </c>
      <c r="D12" s="15" t="n">
        <f aca="false">D8*Assumptions!$B$15</f>
        <v>7223.7</v>
      </c>
      <c r="E12" s="15" t="n">
        <f aca="false">E8*Assumptions!$B$15</f>
        <v>7946.07</v>
      </c>
      <c r="F12" s="15" t="n">
        <f aca="false">F8*Assumptions!$B$15</f>
        <v>8740.677</v>
      </c>
      <c r="G12" s="15" t="n">
        <f aca="false">G8*Assumptions!$B$15</f>
        <v>9614.74469999999</v>
      </c>
      <c r="H12" s="15" t="n">
        <f aca="false">H8*Assumptions!$B$15</f>
        <v>10576.21917</v>
      </c>
      <c r="I12" s="15" t="n">
        <f aca="false">I8*Assumptions!$B$15</f>
        <v>11633.841087</v>
      </c>
      <c r="J12" s="15" t="n">
        <f aca="false">J8*Assumptions!$B$15</f>
        <v>12797.2251957</v>
      </c>
      <c r="K12" s="15" t="n">
        <f aca="false">K8*Assumptions!$B$15</f>
        <v>14076.94771527</v>
      </c>
      <c r="L12" s="15" t="n">
        <f aca="false">L8*Assumptions!$B$15</f>
        <v>15484.642486797</v>
      </c>
      <c r="M12" s="15" t="n">
        <f aca="false">M8*Assumptions!$B$15</f>
        <v>17033.1067354767</v>
      </c>
      <c r="N12" s="15" t="n">
        <f aca="false">N8*Assumptions!$B$15</f>
        <v>18736.4174090243</v>
      </c>
      <c r="O12" s="15" t="n">
        <f aca="false">O8*Assumptions!$B$15</f>
        <v>20610.0591499268</v>
      </c>
      <c r="P12" s="15" t="n">
        <f aca="false">P8*Assumptions!$B$15</f>
        <v>22671.0650649195</v>
      </c>
      <c r="Q12" s="15" t="n">
        <f aca="false">Q8*Assumptions!$B$15</f>
        <v>24938.1715714114</v>
      </c>
      <c r="R12" s="15" t="n">
        <f aca="false">R8*Assumptions!$B$15</f>
        <v>27431.9887285525</v>
      </c>
      <c r="S12" s="15" t="n">
        <f aca="false">S8*Assumptions!$B$15</f>
        <v>30175.1876014078</v>
      </c>
      <c r="T12" s="15" t="n">
        <f aca="false">T8*Assumptions!$B$15</f>
        <v>33192.7063615486</v>
      </c>
      <c r="U12" s="15" t="n">
        <f aca="false">U8*Assumptions!$B$15</f>
        <v>36511.9769977034</v>
      </c>
      <c r="V12" s="15" t="n">
        <f aca="false">V8*Assumptions!$B$15</f>
        <v>40163.1746974737</v>
      </c>
      <c r="W12" s="15" t="n">
        <f aca="false">W8*Assumptions!$B$15</f>
        <v>44179.4921672211</v>
      </c>
      <c r="X12" s="15" t="n">
        <f aca="false">X8*Assumptions!$B$15</f>
        <v>48597.4413839432</v>
      </c>
      <c r="Y12" s="15" t="n">
        <f aca="false">Y8*Assumptions!$B$15</f>
        <v>53457.1855223375</v>
      </c>
    </row>
    <row r="13" customFormat="false" ht="15" hidden="false" customHeight="true" outlineLevel="0" collapsed="false">
      <c r="A13" s="12" t="s">
        <v>50</v>
      </c>
      <c r="B13" s="16" t="n">
        <f aca="false">SUM(B10:B12)</f>
        <v>14400</v>
      </c>
      <c r="C13" s="16" t="n">
        <f aca="false">SUM(C10:C12)</f>
        <v>15840</v>
      </c>
      <c r="D13" s="16" t="n">
        <f aca="false">SUM(D10:D12)</f>
        <v>17424</v>
      </c>
      <c r="E13" s="16" t="n">
        <f aca="false">SUM(E10:E12)</f>
        <v>19166.4</v>
      </c>
      <c r="F13" s="16" t="n">
        <f aca="false">SUM(F10:F12)</f>
        <v>21083.04</v>
      </c>
      <c r="G13" s="16" t="n">
        <f aca="false">SUM(G10:G12)</f>
        <v>23191.344</v>
      </c>
      <c r="H13" s="16" t="n">
        <f aca="false">SUM(H10:H12)</f>
        <v>25510.4784</v>
      </c>
      <c r="I13" s="16" t="n">
        <f aca="false">SUM(I10:I12)</f>
        <v>28061.52624</v>
      </c>
      <c r="J13" s="16" t="n">
        <f aca="false">SUM(J10:J12)</f>
        <v>30867.678864</v>
      </c>
      <c r="K13" s="16" t="n">
        <f aca="false">SUM(K10:K12)</f>
        <v>33954.4467504</v>
      </c>
      <c r="L13" s="16" t="n">
        <f aca="false">SUM(L10:L12)</f>
        <v>37349.89142544</v>
      </c>
      <c r="M13" s="16" t="n">
        <f aca="false">SUM(M10:M12)</f>
        <v>41084.8805679839</v>
      </c>
      <c r="N13" s="16" t="n">
        <f aca="false">SUM(N10:N12)</f>
        <v>45193.3686247823</v>
      </c>
      <c r="O13" s="16" t="n">
        <f aca="false">SUM(O10:O12)</f>
        <v>49712.7054872606</v>
      </c>
      <c r="P13" s="16" t="n">
        <f aca="false">SUM(P10:P12)</f>
        <v>54683.9760359866</v>
      </c>
      <c r="Q13" s="16" t="n">
        <f aca="false">SUM(Q10:Q12)</f>
        <v>60152.3736395853</v>
      </c>
      <c r="R13" s="16" t="n">
        <f aca="false">SUM(R10:R12)</f>
        <v>66167.6110035438</v>
      </c>
      <c r="S13" s="16" t="n">
        <f aca="false">SUM(S10:S12)</f>
        <v>72784.3721038982</v>
      </c>
      <c r="T13" s="16" t="n">
        <f aca="false">SUM(T10:T12)</f>
        <v>80062.809314288</v>
      </c>
      <c r="U13" s="16" t="n">
        <f aca="false">SUM(U10:U12)</f>
        <v>88069.0902457168</v>
      </c>
      <c r="V13" s="16" t="n">
        <f aca="false">SUM(V10:V12)</f>
        <v>96875.9992702884</v>
      </c>
      <c r="W13" s="16" t="n">
        <f aca="false">SUM(W10:W12)</f>
        <v>106563.599197317</v>
      </c>
      <c r="X13" s="16" t="n">
        <f aca="false">SUM(X10:X12)</f>
        <v>117219.959117049</v>
      </c>
      <c r="Y13" s="16" t="n">
        <f aca="false">SUM(Y10:Y12)</f>
        <v>128941.955028754</v>
      </c>
    </row>
    <row r="14" customFormat="false" ht="15" hidden="false" customHeight="true" outlineLevel="0" collapsed="false">
      <c r="A14" s="6" t="s">
        <v>51</v>
      </c>
      <c r="B14" s="14" t="n">
        <f aca="false">B4*Assumptions!$B$22</f>
        <v>6</v>
      </c>
      <c r="C14" s="14" t="n">
        <f aca="false">C4*Assumptions!$B$22</f>
        <v>6.6</v>
      </c>
      <c r="D14" s="14" t="n">
        <f aca="false">D4*Assumptions!$B$22</f>
        <v>7.26</v>
      </c>
      <c r="E14" s="14" t="n">
        <f aca="false">E4*Assumptions!$B$22</f>
        <v>7.986</v>
      </c>
      <c r="F14" s="14" t="n">
        <f aca="false">F4*Assumptions!$B$22</f>
        <v>8.7846</v>
      </c>
      <c r="G14" s="14" t="n">
        <f aca="false">G4*Assumptions!$B$22</f>
        <v>9.66305999999999</v>
      </c>
      <c r="H14" s="14" t="n">
        <f aca="false">H4*Assumptions!$B$22</f>
        <v>10.629366</v>
      </c>
      <c r="I14" s="14" t="n">
        <f aca="false">I4*Assumptions!$B$22</f>
        <v>11.6923026</v>
      </c>
      <c r="J14" s="14" t="n">
        <f aca="false">J4*Assumptions!$B$22</f>
        <v>12.86153286</v>
      </c>
      <c r="K14" s="14" t="n">
        <f aca="false">K4*Assumptions!$B$22</f>
        <v>14.147686146</v>
      </c>
      <c r="L14" s="14" t="n">
        <f aca="false">L4*Assumptions!$B$22</f>
        <v>15.5624547606</v>
      </c>
      <c r="M14" s="14" t="n">
        <f aca="false">M4*Assumptions!$B$22</f>
        <v>17.11870023666</v>
      </c>
      <c r="N14" s="14" t="n">
        <f aca="false">N4*Assumptions!$B$22</f>
        <v>18.830570260326</v>
      </c>
      <c r="O14" s="14" t="n">
        <f aca="false">O4*Assumptions!$B$22</f>
        <v>20.7136272863586</v>
      </c>
      <c r="P14" s="14" t="n">
        <f aca="false">P4*Assumptions!$B$22</f>
        <v>22.7849900149944</v>
      </c>
      <c r="Q14" s="14" t="n">
        <f aca="false">Q4*Assumptions!$B$22</f>
        <v>25.0634890164939</v>
      </c>
      <c r="R14" s="14" t="n">
        <f aca="false">R4*Assumptions!$B$22</f>
        <v>27.5698379181432</v>
      </c>
      <c r="S14" s="14" t="n">
        <f aca="false">S4*Assumptions!$B$22</f>
        <v>30.3268217099576</v>
      </c>
      <c r="T14" s="14" t="n">
        <f aca="false">T4*Assumptions!$B$22</f>
        <v>33.3595038809533</v>
      </c>
      <c r="U14" s="14" t="n">
        <f aca="false">U4*Assumptions!$B$22</f>
        <v>36.6954542690486</v>
      </c>
      <c r="V14" s="14" t="n">
        <f aca="false">V4*Assumptions!$B$22</f>
        <v>40.3649996959535</v>
      </c>
      <c r="W14" s="14" t="n">
        <f aca="false">W4*Assumptions!$B$22</f>
        <v>44.4014996655489</v>
      </c>
      <c r="X14" s="14" t="n">
        <f aca="false">X4*Assumptions!$B$22</f>
        <v>48.8416496321037</v>
      </c>
      <c r="Y14" s="14" t="n">
        <f aca="false">Y4*Assumptions!$B$22</f>
        <v>53.7258145953141</v>
      </c>
    </row>
    <row r="15" customFormat="false" ht="15" hidden="false" customHeight="true" outlineLevel="0" collapsed="false">
      <c r="A15" s="6" t="s">
        <v>52</v>
      </c>
      <c r="B15" s="15" t="n">
        <f aca="false">B14*Assumptions!$B$23</f>
        <v>6600</v>
      </c>
      <c r="C15" s="15" t="n">
        <f aca="false">C14*Assumptions!$B$23</f>
        <v>7260</v>
      </c>
      <c r="D15" s="15" t="n">
        <f aca="false">D14*Assumptions!$B$23</f>
        <v>7986</v>
      </c>
      <c r="E15" s="15" t="n">
        <f aca="false">E14*Assumptions!$B$23</f>
        <v>8784.6</v>
      </c>
      <c r="F15" s="15" t="n">
        <f aca="false">F14*Assumptions!$B$23</f>
        <v>9663.06</v>
      </c>
      <c r="G15" s="15" t="n">
        <f aca="false">G14*Assumptions!$B$23</f>
        <v>10629.366</v>
      </c>
      <c r="H15" s="15" t="n">
        <f aca="false">H14*Assumptions!$B$23</f>
        <v>11692.3026</v>
      </c>
      <c r="I15" s="15" t="n">
        <f aca="false">I14*Assumptions!$B$23</f>
        <v>12861.53286</v>
      </c>
      <c r="J15" s="15" t="n">
        <f aca="false">J14*Assumptions!$B$23</f>
        <v>14147.686146</v>
      </c>
      <c r="K15" s="15" t="n">
        <f aca="false">K14*Assumptions!$B$23</f>
        <v>15562.4547606</v>
      </c>
      <c r="L15" s="15" t="n">
        <f aca="false">L14*Assumptions!$B$23</f>
        <v>17118.70023666</v>
      </c>
      <c r="M15" s="15" t="n">
        <f aca="false">M14*Assumptions!$B$23</f>
        <v>18830.570260326</v>
      </c>
      <c r="N15" s="15" t="n">
        <f aca="false">N14*Assumptions!$B$23</f>
        <v>20713.6272863586</v>
      </c>
      <c r="O15" s="15" t="n">
        <f aca="false">O14*Assumptions!$B$23</f>
        <v>22784.9900149944</v>
      </c>
      <c r="P15" s="15" t="n">
        <f aca="false">P14*Assumptions!$B$23</f>
        <v>25063.4890164939</v>
      </c>
      <c r="Q15" s="15" t="n">
        <f aca="false">Q14*Assumptions!$B$23</f>
        <v>27569.8379181432</v>
      </c>
      <c r="R15" s="15" t="n">
        <f aca="false">R14*Assumptions!$B$23</f>
        <v>30326.8217099576</v>
      </c>
      <c r="S15" s="15" t="n">
        <f aca="false">S14*Assumptions!$B$23</f>
        <v>33359.5038809533</v>
      </c>
      <c r="T15" s="15" t="n">
        <f aca="false">T14*Assumptions!$B$23</f>
        <v>36695.4542690487</v>
      </c>
      <c r="U15" s="15" t="n">
        <f aca="false">U14*Assumptions!$B$23</f>
        <v>40364.9996959535</v>
      </c>
      <c r="V15" s="15" t="n">
        <f aca="false">V14*Assumptions!$B$23</f>
        <v>44401.4996655489</v>
      </c>
      <c r="W15" s="15" t="n">
        <f aca="false">W14*Assumptions!$B$23</f>
        <v>48841.6496321037</v>
      </c>
      <c r="X15" s="15" t="n">
        <f aca="false">X14*Assumptions!$B$23</f>
        <v>53725.8145953141</v>
      </c>
      <c r="Y15" s="15" t="n">
        <f aca="false">Y14*Assumptions!$B$23</f>
        <v>59098.3960548455</v>
      </c>
    </row>
    <row r="16" customFormat="false" ht="15" hidden="false" customHeight="true" outlineLevel="0" collapsed="false">
      <c r="A16" s="12" t="s">
        <v>53</v>
      </c>
      <c r="B16" s="16" t="n">
        <f aca="false">B13+B15</f>
        <v>21000</v>
      </c>
      <c r="C16" s="16" t="n">
        <f aca="false">C13+C15</f>
        <v>23100</v>
      </c>
      <c r="D16" s="16" t="n">
        <f aca="false">D13+D15</f>
        <v>25410</v>
      </c>
      <c r="E16" s="16" t="n">
        <f aca="false">E13+E15</f>
        <v>27951</v>
      </c>
      <c r="F16" s="16" t="n">
        <f aca="false">F13+F15</f>
        <v>30746.1</v>
      </c>
      <c r="G16" s="16" t="n">
        <f aca="false">G13+G15</f>
        <v>33820.71</v>
      </c>
      <c r="H16" s="16" t="n">
        <f aca="false">H13+H15</f>
        <v>37202.781</v>
      </c>
      <c r="I16" s="16" t="n">
        <f aca="false">I13+I15</f>
        <v>40923.0591</v>
      </c>
      <c r="J16" s="16" t="n">
        <f aca="false">J13+J15</f>
        <v>45015.36501</v>
      </c>
      <c r="K16" s="16" t="n">
        <f aca="false">K13+K15</f>
        <v>49516.9015109999</v>
      </c>
      <c r="L16" s="16" t="n">
        <f aca="false">L13+L15</f>
        <v>54468.5916620999</v>
      </c>
      <c r="M16" s="16" t="n">
        <f aca="false">M13+M15</f>
        <v>59915.4508283099</v>
      </c>
      <c r="N16" s="16" t="n">
        <f aca="false">N13+N15</f>
        <v>65906.9959111409</v>
      </c>
      <c r="O16" s="16" t="n">
        <f aca="false">O13+O15</f>
        <v>72497.695502255</v>
      </c>
      <c r="P16" s="16" t="n">
        <f aca="false">P13+P15</f>
        <v>79747.4650524805</v>
      </c>
      <c r="Q16" s="16" t="n">
        <f aca="false">Q13+Q15</f>
        <v>87722.2115577285</v>
      </c>
      <c r="R16" s="16" t="n">
        <f aca="false">R13+R15</f>
        <v>96494.4327135014</v>
      </c>
      <c r="S16" s="16" t="n">
        <f aca="false">S13+S15</f>
        <v>106143.875984851</v>
      </c>
      <c r="T16" s="16" t="n">
        <f aca="false">T13+T15</f>
        <v>116758.263583337</v>
      </c>
      <c r="U16" s="16" t="n">
        <f aca="false">U13+U15</f>
        <v>128434.08994167</v>
      </c>
      <c r="V16" s="16" t="n">
        <f aca="false">V13+V15</f>
        <v>141277.498935837</v>
      </c>
      <c r="W16" s="16" t="n">
        <f aca="false">W13+W15</f>
        <v>155405.248829421</v>
      </c>
      <c r="X16" s="16" t="n">
        <f aca="false">X13+X15</f>
        <v>170945.773712363</v>
      </c>
      <c r="Y16" s="16" t="n">
        <f aca="false">Y13+Y15</f>
        <v>188040.351083599</v>
      </c>
    </row>
    <row r="18" customFormat="false" ht="15" hidden="false" customHeight="true" outlineLevel="0" collapsed="false">
      <c r="A18" s="6" t="s">
        <v>54</v>
      </c>
      <c r="B18" s="14" t="n">
        <f aca="false">(B6*Assumptions!$B$16+B7*Assumptions!$B$17+B8*Assumptions!$B$18)*Assumptions!$B$19</f>
        <v>4270</v>
      </c>
      <c r="C18" s="14" t="n">
        <f aca="false">(C6*Assumptions!$B$16+C7*Assumptions!$B$17+C8*Assumptions!$B$18)*Assumptions!$B$19</f>
        <v>4697</v>
      </c>
      <c r="D18" s="14" t="n">
        <f aca="false">(D6*Assumptions!$B$16+D7*Assumptions!$B$17+D8*Assumptions!$B$18)*Assumptions!$B$19</f>
        <v>5166.7</v>
      </c>
      <c r="E18" s="14" t="n">
        <f aca="false">(E6*Assumptions!$B$16+E7*Assumptions!$B$17+E8*Assumptions!$B$18)*Assumptions!$B$19</f>
        <v>5683.37</v>
      </c>
      <c r="F18" s="14" t="n">
        <f aca="false">(F6*Assumptions!$B$16+F7*Assumptions!$B$17+F8*Assumptions!$B$18)*Assumptions!$B$19</f>
        <v>6251.707</v>
      </c>
      <c r="G18" s="14" t="n">
        <f aca="false">(G6*Assumptions!$B$16+G7*Assumptions!$B$17+G8*Assumptions!$B$18)*Assumptions!$B$19</f>
        <v>6876.8777</v>
      </c>
      <c r="H18" s="14" t="n">
        <f aca="false">(H6*Assumptions!$B$16+H7*Assumptions!$B$17+H8*Assumptions!$B$18)*Assumptions!$B$19</f>
        <v>7564.56546999999</v>
      </c>
      <c r="I18" s="14" t="n">
        <f aca="false">(I6*Assumptions!$B$16+I7*Assumptions!$B$17+I8*Assumptions!$B$18)*Assumptions!$B$19</f>
        <v>8321.02201699999</v>
      </c>
      <c r="J18" s="14" t="n">
        <f aca="false">(J6*Assumptions!$B$16+J7*Assumptions!$B$17+J8*Assumptions!$B$18)*Assumptions!$B$19</f>
        <v>9153.12421869999</v>
      </c>
      <c r="K18" s="14" t="n">
        <f aca="false">(K6*Assumptions!$B$16+K7*Assumptions!$B$17+K8*Assumptions!$B$18)*Assumptions!$B$19</f>
        <v>10068.43664057</v>
      </c>
      <c r="L18" s="14" t="n">
        <f aca="false">(L6*Assumptions!$B$16+L7*Assumptions!$B$17+L8*Assumptions!$B$18)*Assumptions!$B$19</f>
        <v>11075.280304627</v>
      </c>
      <c r="M18" s="14" t="n">
        <f aca="false">(M6*Assumptions!$B$16+M7*Assumptions!$B$17+M8*Assumptions!$B$18)*Assumptions!$B$19</f>
        <v>12182.8083350897</v>
      </c>
      <c r="N18" s="14" t="n">
        <f aca="false">(N6*Assumptions!$B$16+N7*Assumptions!$B$17+N8*Assumptions!$B$18)*Assumptions!$B$19</f>
        <v>13401.0891685987</v>
      </c>
      <c r="O18" s="14" t="n">
        <f aca="false">(O6*Assumptions!$B$16+O7*Assumptions!$B$17+O8*Assumptions!$B$18)*Assumptions!$B$19</f>
        <v>14741.1980854585</v>
      </c>
      <c r="P18" s="14" t="n">
        <f aca="false">(P6*Assumptions!$B$16+P7*Assumptions!$B$17+P8*Assumptions!$B$18)*Assumptions!$B$19</f>
        <v>16215.3178940044</v>
      </c>
      <c r="Q18" s="14" t="n">
        <f aca="false">(Q6*Assumptions!$B$16+Q7*Assumptions!$B$17+Q8*Assumptions!$B$18)*Assumptions!$B$19</f>
        <v>17836.8496834048</v>
      </c>
      <c r="R18" s="14" t="n">
        <f aca="false">(R6*Assumptions!$B$16+R7*Assumptions!$B$17+R8*Assumptions!$B$18)*Assumptions!$B$19</f>
        <v>19620.5346517453</v>
      </c>
      <c r="S18" s="14" t="n">
        <f aca="false">(S6*Assumptions!$B$16+S7*Assumptions!$B$17+S8*Assumptions!$B$18)*Assumptions!$B$19</f>
        <v>21582.5881169198</v>
      </c>
      <c r="T18" s="14" t="n">
        <f aca="false">(T6*Assumptions!$B$16+T7*Assumptions!$B$17+T8*Assumptions!$B$18)*Assumptions!$B$19</f>
        <v>23740.8469286118</v>
      </c>
      <c r="U18" s="14" t="n">
        <f aca="false">(U6*Assumptions!$B$16+U7*Assumptions!$B$17+U8*Assumptions!$B$18)*Assumptions!$B$19</f>
        <v>26114.931621473</v>
      </c>
      <c r="V18" s="14" t="n">
        <f aca="false">(V6*Assumptions!$B$16+V7*Assumptions!$B$17+V8*Assumptions!$B$18)*Assumptions!$B$19</f>
        <v>28726.4247836202</v>
      </c>
      <c r="W18" s="14" t="n">
        <f aca="false">(W6*Assumptions!$B$16+W7*Assumptions!$B$17+W8*Assumptions!$B$18)*Assumptions!$B$19</f>
        <v>31599.0672619823</v>
      </c>
      <c r="X18" s="14" t="n">
        <f aca="false">(X6*Assumptions!$B$16+X7*Assumptions!$B$17+X8*Assumptions!$B$18)*Assumptions!$B$19</f>
        <v>34758.9739881805</v>
      </c>
      <c r="Y18" s="14" t="n">
        <f aca="false">(Y6*Assumptions!$B$16+Y7*Assumptions!$B$17+Y8*Assumptions!$B$18)*Assumptions!$B$19</f>
        <v>38234.8713869985</v>
      </c>
    </row>
    <row r="19" customFormat="false" ht="15" hidden="false" customHeight="true" outlineLevel="0" collapsed="false">
      <c r="A19" s="6" t="s">
        <v>55</v>
      </c>
      <c r="B19" s="15" t="n">
        <f aca="false">B18*Assumptions!$B$20</f>
        <v>2348.5</v>
      </c>
      <c r="C19" s="15" t="n">
        <f aca="false">C18*Assumptions!$B$20</f>
        <v>2583.35</v>
      </c>
      <c r="D19" s="15" t="n">
        <f aca="false">D18*Assumptions!$B$20</f>
        <v>2841.685</v>
      </c>
      <c r="E19" s="15" t="n">
        <f aca="false">E18*Assumptions!$B$20</f>
        <v>3125.8535</v>
      </c>
      <c r="F19" s="15" t="n">
        <f aca="false">F18*Assumptions!$B$20</f>
        <v>3438.43885</v>
      </c>
      <c r="G19" s="15" t="n">
        <f aca="false">G18*Assumptions!$B$20</f>
        <v>3782.282735</v>
      </c>
      <c r="H19" s="15" t="n">
        <f aca="false">H18*Assumptions!$B$20</f>
        <v>4160.5110085</v>
      </c>
      <c r="I19" s="15" t="n">
        <f aca="false">I18*Assumptions!$B$20</f>
        <v>4576.56210935</v>
      </c>
      <c r="J19" s="15" t="n">
        <f aca="false">J18*Assumptions!$B$20</f>
        <v>5034.218320285</v>
      </c>
      <c r="K19" s="15" t="n">
        <f aca="false">K18*Assumptions!$B$20</f>
        <v>5537.64015231349</v>
      </c>
      <c r="L19" s="15" t="n">
        <f aca="false">L18*Assumptions!$B$20</f>
        <v>6091.40416754484</v>
      </c>
      <c r="M19" s="15" t="n">
        <f aca="false">M18*Assumptions!$B$20</f>
        <v>6700.54458429933</v>
      </c>
      <c r="N19" s="15" t="n">
        <f aca="false">N18*Assumptions!$B$20</f>
        <v>7370.59904272926</v>
      </c>
      <c r="O19" s="15" t="n">
        <f aca="false">O18*Assumptions!$B$20</f>
        <v>8107.65894700218</v>
      </c>
      <c r="P19" s="15" t="n">
        <f aca="false">P18*Assumptions!$B$20</f>
        <v>8918.4248417024</v>
      </c>
      <c r="Q19" s="15" t="n">
        <f aca="false">Q18*Assumptions!$B$20</f>
        <v>9810.26732587264</v>
      </c>
      <c r="R19" s="15" t="n">
        <f aca="false">R18*Assumptions!$B$20</f>
        <v>10791.2940584599</v>
      </c>
      <c r="S19" s="15" t="n">
        <f aca="false">S18*Assumptions!$B$20</f>
        <v>11870.4234643059</v>
      </c>
      <c r="T19" s="15" t="n">
        <f aca="false">T18*Assumptions!$B$20</f>
        <v>13057.4658107365</v>
      </c>
      <c r="U19" s="15" t="n">
        <f aca="false">U18*Assumptions!$B$20</f>
        <v>14363.2123918101</v>
      </c>
      <c r="V19" s="15" t="n">
        <f aca="false">V18*Assumptions!$B$20</f>
        <v>15799.5336309911</v>
      </c>
      <c r="W19" s="15" t="n">
        <f aca="false">W18*Assumptions!$B$20</f>
        <v>17379.4869940903</v>
      </c>
      <c r="X19" s="15" t="n">
        <f aca="false">X18*Assumptions!$B$20</f>
        <v>19117.4356934993</v>
      </c>
      <c r="Y19" s="15" t="n">
        <f aca="false">Y18*Assumptions!$B$20</f>
        <v>21029.1792628492</v>
      </c>
    </row>
    <row r="20" customFormat="false" ht="15" hidden="false" customHeight="true" outlineLevel="0" collapsed="false">
      <c r="A20" s="6" t="s">
        <v>56</v>
      </c>
      <c r="B20" s="15" t="n">
        <f aca="false">B15*Assumptions!$B$24</f>
        <v>2310</v>
      </c>
      <c r="C20" s="15" t="n">
        <f aca="false">C15*Assumptions!$B$24</f>
        <v>2541</v>
      </c>
      <c r="D20" s="15" t="n">
        <f aca="false">D15*Assumptions!$B$24</f>
        <v>2795.1</v>
      </c>
      <c r="E20" s="15" t="n">
        <f aca="false">E15*Assumptions!$B$24</f>
        <v>3074.61</v>
      </c>
      <c r="F20" s="15" t="n">
        <f aca="false">F15*Assumptions!$B$24</f>
        <v>3382.071</v>
      </c>
      <c r="G20" s="15" t="n">
        <f aca="false">G15*Assumptions!$B$24</f>
        <v>3720.2781</v>
      </c>
      <c r="H20" s="15" t="n">
        <f aca="false">H15*Assumptions!$B$24</f>
        <v>4092.30591</v>
      </c>
      <c r="I20" s="15" t="n">
        <f aca="false">I15*Assumptions!$B$24</f>
        <v>4501.536501</v>
      </c>
      <c r="J20" s="15" t="n">
        <f aca="false">J15*Assumptions!$B$24</f>
        <v>4951.6901511</v>
      </c>
      <c r="K20" s="15" t="n">
        <f aca="false">K15*Assumptions!$B$24</f>
        <v>5446.85916620999</v>
      </c>
      <c r="L20" s="15" t="n">
        <f aca="false">L15*Assumptions!$B$24</f>
        <v>5991.54508283099</v>
      </c>
      <c r="M20" s="15" t="n">
        <f aca="false">M15*Assumptions!$B$24</f>
        <v>6590.69959111409</v>
      </c>
      <c r="N20" s="15" t="n">
        <f aca="false">N15*Assumptions!$B$24</f>
        <v>7249.7695502255</v>
      </c>
      <c r="O20" s="15" t="n">
        <f aca="false">O15*Assumptions!$B$24</f>
        <v>7974.74650524805</v>
      </c>
      <c r="P20" s="15" t="n">
        <f aca="false">P15*Assumptions!$B$24</f>
        <v>8772.22115577285</v>
      </c>
      <c r="Q20" s="15" t="n">
        <f aca="false">Q15*Assumptions!$B$24</f>
        <v>9649.44327135014</v>
      </c>
      <c r="R20" s="15" t="n">
        <f aca="false">R15*Assumptions!$B$24</f>
        <v>10614.3875984852</v>
      </c>
      <c r="S20" s="15" t="n">
        <f aca="false">S15*Assumptions!$B$24</f>
        <v>11675.8263583337</v>
      </c>
      <c r="T20" s="15" t="n">
        <f aca="false">T15*Assumptions!$B$24</f>
        <v>12843.408994167</v>
      </c>
      <c r="U20" s="15" t="n">
        <f aca="false">U15*Assumptions!$B$24</f>
        <v>14127.7498935837</v>
      </c>
      <c r="V20" s="15" t="n">
        <f aca="false">V15*Assumptions!$B$24</f>
        <v>15540.5248829421</v>
      </c>
      <c r="W20" s="15" t="n">
        <f aca="false">W15*Assumptions!$B$24</f>
        <v>17094.5773712363</v>
      </c>
      <c r="X20" s="15" t="n">
        <f aca="false">X15*Assumptions!$B$24</f>
        <v>18804.0351083599</v>
      </c>
      <c r="Y20" s="15" t="n">
        <f aca="false">Y15*Assumptions!$B$24</f>
        <v>20684.4386191959</v>
      </c>
    </row>
    <row r="21" customFormat="false" ht="15" hidden="false" customHeight="true" outlineLevel="0" collapsed="false">
      <c r="A21" s="6" t="s">
        <v>57</v>
      </c>
      <c r="B21" s="15" t="n">
        <f aca="false">B5*Assumptions!$B$8</f>
        <v>16000</v>
      </c>
      <c r="C21" s="15" t="n">
        <f aca="false">C5*Assumptions!$B$8</f>
        <v>2400</v>
      </c>
      <c r="D21" s="15" t="n">
        <f aca="false">D5*Assumptions!$B$8</f>
        <v>2640</v>
      </c>
      <c r="E21" s="15" t="n">
        <f aca="false">E5*Assumptions!$B$8</f>
        <v>2904</v>
      </c>
      <c r="F21" s="15" t="n">
        <f aca="false">F5*Assumptions!$B$8</f>
        <v>3194.4</v>
      </c>
      <c r="G21" s="15" t="n">
        <f aca="false">G5*Assumptions!$B$8</f>
        <v>3513.84</v>
      </c>
      <c r="H21" s="15" t="n">
        <f aca="false">H5*Assumptions!$B$8</f>
        <v>3865.224</v>
      </c>
      <c r="I21" s="15" t="n">
        <f aca="false">I5*Assumptions!$B$8</f>
        <v>4251.7464</v>
      </c>
      <c r="J21" s="15" t="n">
        <f aca="false">J5*Assumptions!$B$8</f>
        <v>4676.92104</v>
      </c>
      <c r="K21" s="15" t="n">
        <f aca="false">K5*Assumptions!$B$8</f>
        <v>5144.613144</v>
      </c>
      <c r="L21" s="15" t="n">
        <f aca="false">L5*Assumptions!$B$8</f>
        <v>5659.07445839999</v>
      </c>
      <c r="M21" s="15" t="n">
        <f aca="false">M5*Assumptions!$B$8</f>
        <v>6224.98190423999</v>
      </c>
      <c r="N21" s="15" t="n">
        <f aca="false">N5*Assumptions!$B$8</f>
        <v>6847.48009466399</v>
      </c>
      <c r="O21" s="15" t="n">
        <f aca="false">O5*Assumptions!$B$8</f>
        <v>7532.22810413039</v>
      </c>
      <c r="P21" s="15" t="n">
        <f aca="false">P5*Assumptions!$B$8</f>
        <v>8285.45091454343</v>
      </c>
      <c r="Q21" s="15" t="n">
        <f aca="false">Q5*Assumptions!$B$8</f>
        <v>9113.99600599777</v>
      </c>
      <c r="R21" s="15" t="n">
        <f aca="false">R5*Assumptions!$B$8</f>
        <v>10025.3956065975</v>
      </c>
      <c r="S21" s="15" t="n">
        <f aca="false">S5*Assumptions!$B$8</f>
        <v>11027.9351672573</v>
      </c>
      <c r="T21" s="15" t="n">
        <f aca="false">T5*Assumptions!$B$8</f>
        <v>12130.728683983</v>
      </c>
      <c r="U21" s="15" t="n">
        <f aca="false">U5*Assumptions!$B$8</f>
        <v>13343.8015523813</v>
      </c>
      <c r="V21" s="15" t="n">
        <f aca="false">V5*Assumptions!$B$8</f>
        <v>14678.1817076195</v>
      </c>
      <c r="W21" s="15" t="n">
        <f aca="false">W5*Assumptions!$B$8</f>
        <v>16145.9998783814</v>
      </c>
      <c r="X21" s="15" t="n">
        <f aca="false">X5*Assumptions!$B$8</f>
        <v>17760.5998662195</v>
      </c>
      <c r="Y21" s="15" t="n">
        <f aca="false">Y5*Assumptions!$B$8</f>
        <v>19536.6598528415</v>
      </c>
    </row>
    <row r="22" customFormat="false" ht="15" hidden="false" customHeight="true" outlineLevel="0" collapsed="false">
      <c r="A22" s="6" t="s">
        <v>58</v>
      </c>
      <c r="B22" s="15" t="n">
        <f aca="false">Assumptions!$B$26+B4*Assumptions!$B$27</f>
        <v>41200</v>
      </c>
      <c r="C22" s="15" t="n">
        <f aca="false">Assumptions!$B$26+C4*Assumptions!$B$27</f>
        <v>41320</v>
      </c>
      <c r="D22" s="15" t="n">
        <f aca="false">Assumptions!$B$26+D4*Assumptions!$B$27</f>
        <v>41452</v>
      </c>
      <c r="E22" s="15" t="n">
        <f aca="false">Assumptions!$B$26+E4*Assumptions!$B$27</f>
        <v>41597.2</v>
      </c>
      <c r="F22" s="15" t="n">
        <f aca="false">Assumptions!$B$26+F4*Assumptions!$B$27</f>
        <v>41756.92</v>
      </c>
      <c r="G22" s="15" t="n">
        <f aca="false">Assumptions!$B$26+G4*Assumptions!$B$27</f>
        <v>41932.612</v>
      </c>
      <c r="H22" s="15" t="n">
        <f aca="false">Assumptions!$B$26+H4*Assumptions!$B$27</f>
        <v>42125.8732</v>
      </c>
      <c r="I22" s="15" t="n">
        <f aca="false">Assumptions!$B$26+I4*Assumptions!$B$27</f>
        <v>42338.46052</v>
      </c>
      <c r="J22" s="15" t="n">
        <f aca="false">Assumptions!$B$26+J4*Assumptions!$B$27</f>
        <v>42572.306572</v>
      </c>
      <c r="K22" s="15" t="n">
        <f aca="false">Assumptions!$B$26+K4*Assumptions!$B$27</f>
        <v>42829.5372292</v>
      </c>
      <c r="L22" s="15" t="n">
        <f aca="false">Assumptions!$B$26+L4*Assumptions!$B$27</f>
        <v>43112.49095212</v>
      </c>
      <c r="M22" s="15" t="n">
        <f aca="false">Assumptions!$B$26+M4*Assumptions!$B$27</f>
        <v>43423.740047332</v>
      </c>
      <c r="N22" s="15" t="n">
        <f aca="false">Assumptions!$B$26+N4*Assumptions!$B$27</f>
        <v>43766.1140520652</v>
      </c>
      <c r="O22" s="15" t="n">
        <f aca="false">Assumptions!$B$26+O4*Assumptions!$B$27</f>
        <v>44142.7254572717</v>
      </c>
      <c r="P22" s="15" t="n">
        <f aca="false">Assumptions!$B$26+P4*Assumptions!$B$27</f>
        <v>44556.9980029989</v>
      </c>
      <c r="Q22" s="15" t="n">
        <f aca="false">Assumptions!$B$26+Q4*Assumptions!$B$27</f>
        <v>45012.6978032988</v>
      </c>
      <c r="R22" s="15" t="n">
        <f aca="false">Assumptions!$B$26+R4*Assumptions!$B$27</f>
        <v>45513.9675836287</v>
      </c>
      <c r="S22" s="15" t="n">
        <f aca="false">Assumptions!$B$26+S4*Assumptions!$B$27</f>
        <v>46065.3643419915</v>
      </c>
      <c r="T22" s="15" t="n">
        <f aca="false">Assumptions!$B$26+T4*Assumptions!$B$27</f>
        <v>46671.9007761907</v>
      </c>
      <c r="U22" s="15" t="n">
        <f aca="false">Assumptions!$B$26+U4*Assumptions!$B$27</f>
        <v>47339.0908538097</v>
      </c>
      <c r="V22" s="15" t="n">
        <f aca="false">Assumptions!$B$26+V4*Assumptions!$B$27</f>
        <v>48072.9999391907</v>
      </c>
      <c r="W22" s="15" t="n">
        <f aca="false">Assumptions!$B$26+W4*Assumptions!$B$27</f>
        <v>48880.2999331098</v>
      </c>
      <c r="X22" s="15" t="n">
        <f aca="false">Assumptions!$B$26+X4*Assumptions!$B$27</f>
        <v>49768.3299264207</v>
      </c>
      <c r="Y22" s="15" t="n">
        <f aca="false">Assumptions!$B$26+Y4*Assumptions!$B$27</f>
        <v>50745.1629190628</v>
      </c>
    </row>
    <row r="23" customFormat="false" ht="15" hidden="false" customHeight="true" outlineLevel="0" collapsed="false">
      <c r="A23" s="12" t="s">
        <v>59</v>
      </c>
      <c r="B23" s="16" t="n">
        <f aca="false">SUM(B19:B22)</f>
        <v>61858.5</v>
      </c>
      <c r="C23" s="16" t="n">
        <f aca="false">SUM(C19:C22)</f>
        <v>48844.35</v>
      </c>
      <c r="D23" s="16" t="n">
        <f aca="false">SUM(D19:D22)</f>
        <v>49728.785</v>
      </c>
      <c r="E23" s="16" t="n">
        <f aca="false">SUM(E19:E22)</f>
        <v>50701.6635</v>
      </c>
      <c r="F23" s="16" t="n">
        <f aca="false">SUM(F19:F22)</f>
        <v>51771.82985</v>
      </c>
      <c r="G23" s="16" t="n">
        <f aca="false">SUM(G19:G22)</f>
        <v>52949.012835</v>
      </c>
      <c r="H23" s="16" t="n">
        <f aca="false">SUM(H19:H22)</f>
        <v>54243.9141185</v>
      </c>
      <c r="I23" s="16" t="n">
        <f aca="false">SUM(I19:I22)</f>
        <v>55668.30553035</v>
      </c>
      <c r="J23" s="16" t="n">
        <f aca="false">SUM(J19:J22)</f>
        <v>57235.136083385</v>
      </c>
      <c r="K23" s="16" t="n">
        <f aca="false">SUM(K19:K22)</f>
        <v>58958.6496917235</v>
      </c>
      <c r="L23" s="16" t="n">
        <f aca="false">SUM(L19:L22)</f>
        <v>60854.5146608958</v>
      </c>
      <c r="M23" s="16" t="n">
        <f aca="false">SUM(M19:M22)</f>
        <v>62939.9661269854</v>
      </c>
      <c r="N23" s="16" t="n">
        <f aca="false">SUM(N19:N22)</f>
        <v>65233.9627396839</v>
      </c>
      <c r="O23" s="16" t="n">
        <f aca="false">SUM(O19:O22)</f>
        <v>67757.3590136523</v>
      </c>
      <c r="P23" s="16" t="n">
        <f aca="false">SUM(P19:P22)</f>
        <v>70533.0949150176</v>
      </c>
      <c r="Q23" s="16" t="n">
        <f aca="false">SUM(Q19:Q22)</f>
        <v>73586.4044065193</v>
      </c>
      <c r="R23" s="16" t="n">
        <f aca="false">SUM(R19:R22)</f>
        <v>76945.0448471712</v>
      </c>
      <c r="S23" s="16" t="n">
        <f aca="false">SUM(S19:S22)</f>
        <v>80639.5493318884</v>
      </c>
      <c r="T23" s="16" t="n">
        <f aca="false">SUM(T19:T22)</f>
        <v>84703.5042650772</v>
      </c>
      <c r="U23" s="16" t="n">
        <f aca="false">SUM(U19:U22)</f>
        <v>89173.8546915849</v>
      </c>
      <c r="V23" s="16" t="n">
        <f aca="false">SUM(V19:V22)</f>
        <v>94091.2401607434</v>
      </c>
      <c r="W23" s="16" t="n">
        <f aca="false">SUM(W19:W22)</f>
        <v>99500.3641768177</v>
      </c>
      <c r="X23" s="16" t="n">
        <f aca="false">SUM(X19:X22)</f>
        <v>105450.400594499</v>
      </c>
      <c r="Y23" s="16" t="n">
        <f aca="false">SUM(Y19:Y22)</f>
        <v>111995.440653949</v>
      </c>
    </row>
    <row r="25" customFormat="false" ht="15" hidden="false" customHeight="true" outlineLevel="0" collapsed="false">
      <c r="A25" s="12" t="s">
        <v>60</v>
      </c>
      <c r="B25" s="16" t="n">
        <f aca="false">B16-B23</f>
        <v>-40858.5</v>
      </c>
      <c r="C25" s="16" t="n">
        <f aca="false">C16-C23</f>
        <v>-25744.35</v>
      </c>
      <c r="D25" s="16" t="n">
        <f aca="false">D16-D23</f>
        <v>-24318.785</v>
      </c>
      <c r="E25" s="16" t="n">
        <f aca="false">E16-E23</f>
        <v>-22750.6635</v>
      </c>
      <c r="F25" s="16" t="n">
        <f aca="false">F16-F23</f>
        <v>-21025.72985</v>
      </c>
      <c r="G25" s="16" t="n">
        <f aca="false">G16-G23</f>
        <v>-19128.302835</v>
      </c>
      <c r="H25" s="16" t="n">
        <f aca="false">H16-H23</f>
        <v>-17041.1331185</v>
      </c>
      <c r="I25" s="16" t="n">
        <f aca="false">I16-I23</f>
        <v>-14745.24643035</v>
      </c>
      <c r="J25" s="16" t="n">
        <f aca="false">J16-J23</f>
        <v>-12219.771073385</v>
      </c>
      <c r="K25" s="16" t="n">
        <f aca="false">K16-K23</f>
        <v>-9441.74818072353</v>
      </c>
      <c r="L25" s="16" t="n">
        <f aca="false">L16-L23</f>
        <v>-6385.92299879589</v>
      </c>
      <c r="M25" s="16" t="n">
        <f aca="false">M16-M23</f>
        <v>-3024.51529867549</v>
      </c>
      <c r="N25" s="16" t="n">
        <f aca="false">N16-N23</f>
        <v>673.033171456969</v>
      </c>
      <c r="O25" s="16" t="n">
        <f aca="false">O16-O23</f>
        <v>4740.33648860265</v>
      </c>
      <c r="P25" s="16" t="n">
        <f aca="false">P16-P23</f>
        <v>9214.3701374629</v>
      </c>
      <c r="Q25" s="16" t="n">
        <f aca="false">Q16-Q23</f>
        <v>14135.8071512092</v>
      </c>
      <c r="R25" s="16" t="n">
        <f aca="false">R16-R23</f>
        <v>19549.3878663301</v>
      </c>
      <c r="S25" s="16" t="n">
        <f aca="false">S16-S23</f>
        <v>25504.3266529631</v>
      </c>
      <c r="T25" s="16" t="n">
        <f aca="false">T16-T23</f>
        <v>32054.7593182594</v>
      </c>
      <c r="U25" s="16" t="n">
        <f aca="false">U16-U23</f>
        <v>39260.2352500854</v>
      </c>
      <c r="V25" s="16" t="n">
        <f aca="false">V16-V23</f>
        <v>47186.2587750939</v>
      </c>
      <c r="W25" s="16" t="n">
        <f aca="false">W16-W23</f>
        <v>55904.8846526033</v>
      </c>
      <c r="X25" s="16" t="n">
        <f aca="false">X16-X23</f>
        <v>65495.3731178636</v>
      </c>
      <c r="Y25" s="16" t="n">
        <f aca="false">Y16-Y23</f>
        <v>76044.9104296499</v>
      </c>
    </row>
    <row r="26" customFormat="false" ht="15" hidden="false" customHeight="true" outlineLevel="0" collapsed="false">
      <c r="A26" s="6" t="s">
        <v>61</v>
      </c>
      <c r="B26" s="15" t="n">
        <f aca="false">B25</f>
        <v>-40858.5</v>
      </c>
      <c r="C26" s="15" t="n">
        <f aca="false">B26+C25</f>
        <v>-66602.85</v>
      </c>
      <c r="D26" s="15" t="n">
        <f aca="false">C26+D25</f>
        <v>-90921.635</v>
      </c>
      <c r="E26" s="15" t="n">
        <f aca="false">D26+E25</f>
        <v>-113672.2985</v>
      </c>
      <c r="F26" s="15" t="n">
        <f aca="false">E26+F25</f>
        <v>-134698.02835</v>
      </c>
      <c r="G26" s="15" t="n">
        <f aca="false">F26+G25</f>
        <v>-153826.331185</v>
      </c>
      <c r="H26" s="15" t="n">
        <f aca="false">G26+H25</f>
        <v>-170867.4643035</v>
      </c>
      <c r="I26" s="15" t="n">
        <f aca="false">H26+I25</f>
        <v>-185612.71073385</v>
      </c>
      <c r="J26" s="15" t="n">
        <f aca="false">I26+J25</f>
        <v>-197832.481807235</v>
      </c>
      <c r="K26" s="15" t="n">
        <f aca="false">J26+K25</f>
        <v>-207274.229987959</v>
      </c>
      <c r="L26" s="15" t="n">
        <f aca="false">K26+L25</f>
        <v>-213660.152986755</v>
      </c>
      <c r="M26" s="15" t="n">
        <f aca="false">L26+M25</f>
        <v>-216684.66828543</v>
      </c>
      <c r="N26" s="15" t="n">
        <f aca="false">M26+N25</f>
        <v>-216011.635113973</v>
      </c>
      <c r="O26" s="15" t="n">
        <f aca="false">N26+O25</f>
        <v>-211271.29862537</v>
      </c>
      <c r="P26" s="15" t="n">
        <f aca="false">O26+P25</f>
        <v>-202056.928487907</v>
      </c>
      <c r="Q26" s="15" t="n">
        <f aca="false">P26+Q25</f>
        <v>-187921.121336698</v>
      </c>
      <c r="R26" s="15" t="n">
        <f aca="false">Q26+R25</f>
        <v>-168371.733470368</v>
      </c>
      <c r="S26" s="15" t="n">
        <f aca="false">R26+S25</f>
        <v>-142867.406817405</v>
      </c>
      <c r="T26" s="15" t="n">
        <f aca="false">S26+T25</f>
        <v>-110812.647499146</v>
      </c>
      <c r="U26" s="15" t="n">
        <f aca="false">T26+U25</f>
        <v>-71552.4122490603</v>
      </c>
      <c r="V26" s="15" t="n">
        <f aca="false">U26+V25</f>
        <v>-24366.1534739664</v>
      </c>
      <c r="W26" s="15" t="n">
        <f aca="false">V26+W25</f>
        <v>31538.7311786369</v>
      </c>
      <c r="X26" s="15" t="n">
        <f aca="false">W26+X25</f>
        <v>97034.1042965005</v>
      </c>
      <c r="Y26" s="15" t="n">
        <f aca="false">X26+Y25</f>
        <v>173079.01472615</v>
      </c>
    </row>
    <row r="27" customFormat="false" ht="15" hidden="false" customHeight="true" outlineLevel="0" collapsed="false">
      <c r="A27" s="6" t="s">
        <v>62</v>
      </c>
      <c r="B27" s="17" t="n">
        <f aca="false">IF(B16=0,0,(B16-B19-B20)/B16)</f>
        <v>0.778166666666667</v>
      </c>
      <c r="C27" s="17" t="n">
        <f aca="false">IF(C16=0,0,(C16-C19-C20)/C16)</f>
        <v>0.778166666666667</v>
      </c>
      <c r="D27" s="17" t="n">
        <f aca="false">IF(D16=0,0,(D16-D19-D20)/D16)</f>
        <v>0.778166666666667</v>
      </c>
      <c r="E27" s="17" t="n">
        <f aca="false">IF(E16=0,0,(E16-E19-E20)/E16)</f>
        <v>0.778166666666667</v>
      </c>
      <c r="F27" s="17" t="n">
        <f aca="false">IF(F16=0,0,(F16-F19-F20)/F16)</f>
        <v>0.778166666666667</v>
      </c>
      <c r="G27" s="17" t="n">
        <f aca="false">IF(G16=0,0,(G16-G19-G20)/G16)</f>
        <v>0.778166666666667</v>
      </c>
      <c r="H27" s="17" t="n">
        <f aca="false">IF(H16=0,0,(H16-H19-H20)/H16)</f>
        <v>0.778166666666667</v>
      </c>
      <c r="I27" s="17" t="n">
        <f aca="false">IF(I16=0,0,(I16-I19-I20)/I16)</f>
        <v>0.778166666666667</v>
      </c>
      <c r="J27" s="17" t="n">
        <f aca="false">IF(J16=0,0,(J16-J19-J20)/J16)</f>
        <v>0.778166666666667</v>
      </c>
      <c r="K27" s="17" t="n">
        <f aca="false">IF(K16=0,0,(K16-K19-K20)/K16)</f>
        <v>0.778166666666667</v>
      </c>
      <c r="L27" s="17" t="n">
        <f aca="false">IF(L16=0,0,(L16-L19-L20)/L16)</f>
        <v>0.778166666666667</v>
      </c>
      <c r="M27" s="17" t="n">
        <f aca="false">IF(M16=0,0,(M16-M19-M20)/M16)</f>
        <v>0.778166666666667</v>
      </c>
      <c r="N27" s="17" t="n">
        <f aca="false">IF(N16=0,0,(N16-N19-N20)/N16)</f>
        <v>0.778166666666667</v>
      </c>
      <c r="O27" s="17" t="n">
        <f aca="false">IF(O16=0,0,(O16-O19-O20)/O16)</f>
        <v>0.778166666666667</v>
      </c>
      <c r="P27" s="17" t="n">
        <f aca="false">IF(P16=0,0,(P16-P19-P20)/P16)</f>
        <v>0.778166666666667</v>
      </c>
      <c r="Q27" s="17" t="n">
        <f aca="false">IF(Q16=0,0,(Q16-Q19-Q20)/Q16)</f>
        <v>0.778166666666667</v>
      </c>
      <c r="R27" s="17" t="n">
        <f aca="false">IF(R16=0,0,(R16-R19-R20)/R16)</f>
        <v>0.778166666666667</v>
      </c>
      <c r="S27" s="17" t="n">
        <f aca="false">IF(S16=0,0,(S16-S19-S20)/S16)</f>
        <v>0.778166666666667</v>
      </c>
      <c r="T27" s="17" t="n">
        <f aca="false">IF(T16=0,0,(T16-T19-T20)/T16)</f>
        <v>0.778166666666667</v>
      </c>
      <c r="U27" s="17" t="n">
        <f aca="false">IF(U16=0,0,(U16-U19-U20)/U16)</f>
        <v>0.778166666666667</v>
      </c>
      <c r="V27" s="17" t="n">
        <f aca="false">IF(V16=0,0,(V16-V19-V20)/V16)</f>
        <v>0.778166666666667</v>
      </c>
      <c r="W27" s="17" t="n">
        <f aca="false">IF(W16=0,0,(W16-W19-W20)/W16)</f>
        <v>0.778166666666667</v>
      </c>
      <c r="X27" s="17" t="n">
        <f aca="false">IF(X16=0,0,(X16-X19-X20)/X16)</f>
        <v>0.778166666666667</v>
      </c>
      <c r="Y27" s="17" t="n">
        <f aca="false">IF(Y16=0,0,(Y16-Y19-Y20)/Y16)</f>
        <v>0.778166666666667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6"/>
  </cols>
  <sheetData>
    <row r="1" customFormat="false" ht="17.25" hidden="false" customHeight="true" outlineLevel="0" collapsed="false">
      <c r="A1" s="2" t="s">
        <v>63</v>
      </c>
    </row>
    <row r="3" customFormat="false" ht="15" hidden="false" customHeight="true" outlineLevel="0" collapsed="false">
      <c r="B3" s="12" t="s">
        <v>64</v>
      </c>
      <c r="C3" s="12" t="s">
        <v>65</v>
      </c>
    </row>
    <row r="4" customFormat="false" ht="15" hidden="false" customHeight="true" outlineLevel="0" collapsed="false">
      <c r="A4" s="6" t="s">
        <v>66</v>
      </c>
      <c r="B4" s="18" t="n">
        <f aca="false">Model!M4</f>
        <v>570.623341221999</v>
      </c>
      <c r="C4" s="18" t="n">
        <f aca="false">Model!Y4</f>
        <v>1790.86048651047</v>
      </c>
    </row>
    <row r="5" customFormat="false" ht="15" hidden="false" customHeight="true" outlineLevel="0" collapsed="false">
      <c r="A5" s="6" t="s">
        <v>50</v>
      </c>
      <c r="B5" s="19" t="n">
        <f aca="false">Model!M13</f>
        <v>41084.8805679839</v>
      </c>
      <c r="C5" s="19" t="n">
        <f aca="false">Model!Y13</f>
        <v>128941.955028754</v>
      </c>
    </row>
    <row r="6" customFormat="false" ht="15" hidden="false" customHeight="true" outlineLevel="0" collapsed="false">
      <c r="A6" s="6" t="s">
        <v>67</v>
      </c>
      <c r="B6" s="19" t="n">
        <f aca="false">Model!M15</f>
        <v>18830.570260326</v>
      </c>
      <c r="C6" s="19" t="n">
        <f aca="false">Model!Y15</f>
        <v>59098.3960548455</v>
      </c>
    </row>
    <row r="7" customFormat="false" ht="15" hidden="false" customHeight="true" outlineLevel="0" collapsed="false">
      <c r="A7" s="6" t="s">
        <v>68</v>
      </c>
      <c r="B7" s="19" t="n">
        <f aca="false">Model!M16</f>
        <v>59915.4508283099</v>
      </c>
      <c r="C7" s="19" t="n">
        <f aca="false">Model!Y16</f>
        <v>188040.351083599</v>
      </c>
    </row>
    <row r="8" customFormat="false" ht="15" hidden="false" customHeight="true" outlineLevel="0" collapsed="false">
      <c r="A8" s="6" t="s">
        <v>69</v>
      </c>
      <c r="B8" s="19" t="n">
        <f aca="false">Model!M16*12</f>
        <v>718985.409939719</v>
      </c>
      <c r="C8" s="19" t="n">
        <f aca="false">Model!Y16*12</f>
        <v>2256484.21300319</v>
      </c>
    </row>
    <row r="9" customFormat="false" ht="15" hidden="false" customHeight="true" outlineLevel="0" collapsed="false">
      <c r="A9" s="6" t="s">
        <v>62</v>
      </c>
      <c r="B9" s="20" t="n">
        <f aca="false">Model!M27</f>
        <v>0.778166666666667</v>
      </c>
      <c r="C9" s="20" t="n">
        <f aca="false">Model!Y27</f>
        <v>0.778166666666667</v>
      </c>
    </row>
    <row r="10" customFormat="false" ht="15" hidden="false" customHeight="true" outlineLevel="0" collapsed="false">
      <c r="A10" s="6" t="s">
        <v>70</v>
      </c>
      <c r="B10" s="19" t="n">
        <f aca="false">Model!M25</f>
        <v>-3024.51529867549</v>
      </c>
      <c r="C10" s="19" t="n">
        <f aca="false">Model!Y25</f>
        <v>76044.9104296499</v>
      </c>
    </row>
    <row r="11" customFormat="false" ht="15" hidden="false" customHeight="true" outlineLevel="0" collapsed="false">
      <c r="A11" s="6" t="s">
        <v>61</v>
      </c>
      <c r="B11" s="19" t="n">
        <f aca="false">Model!M26</f>
        <v>-216684.66828543</v>
      </c>
      <c r="C11" s="19" t="n">
        <f aca="false">Model!Y26</f>
        <v>173079.01472615</v>
      </c>
    </row>
    <row r="13" customFormat="false" ht="15" hidden="false" customHeight="true" outlineLevel="0" collapsed="false">
      <c r="A13" s="12" t="s">
        <v>71</v>
      </c>
      <c r="B13" s="21" t="n">
        <f aca="false">COUNTIF(Model!B25:Y25,"&lt;0")+1</f>
        <v>13</v>
      </c>
      <c r="C13" s="8" t="s">
        <v>72</v>
      </c>
    </row>
    <row r="15" customFormat="false" ht="15" hidden="false" customHeight="true" outlineLevel="0" collapsed="false">
      <c r="A15" s="4" t="s">
        <v>73</v>
      </c>
      <c r="B15" s="5"/>
      <c r="C15" s="5"/>
    </row>
    <row r="16" customFormat="false" ht="15" hidden="false" customHeight="true" outlineLevel="0" collapsed="false">
      <c r="A16" s="6" t="s">
        <v>74</v>
      </c>
      <c r="B16" s="19" t="n">
        <f aca="false">Assumptions!B10*Assumptions!B13+Assumptions!B11*Assumptions!B14+Assumptions!B12*Assumptions!B15</f>
        <v>72</v>
      </c>
    </row>
    <row r="17" customFormat="false" ht="15" hidden="false" customHeight="true" outlineLevel="0" collapsed="false">
      <c r="A17" s="6" t="s">
        <v>75</v>
      </c>
      <c r="B17" s="22" t="n">
        <f aca="false">1/Assumptions!B7</f>
        <v>20</v>
      </c>
    </row>
    <row r="18" customFormat="false" ht="15" hidden="false" customHeight="true" outlineLevel="0" collapsed="false">
      <c r="A18" s="6" t="s">
        <v>76</v>
      </c>
      <c r="B18" s="19" t="n">
        <f aca="false">B16*B17*Model!M27</f>
        <v>1120.56</v>
      </c>
    </row>
    <row r="19" customFormat="false" ht="15" hidden="false" customHeight="true" outlineLevel="0" collapsed="false">
      <c r="A19" s="6" t="s">
        <v>77</v>
      </c>
      <c r="B19" s="23" t="n">
        <f aca="false">B18/Assumptions!B8</f>
        <v>14.007</v>
      </c>
    </row>
    <row r="21" customFormat="false" ht="15" hidden="false" customHeight="true" outlineLevel="0" collapsed="false">
      <c r="A21" s="3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2026-07-11T19:01:27Z</dcterms:created>
  <dc:creator>openpyxl</dc:creator>
  <dc:description/>
  <dc:language>en-US</dc:language>
  <cp:lastModifiedBy/>
  <dcterms:modified xsi:type="dcterms:W3CDTF">2026-07-11T20:35:46Z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